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3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buckeyemailosu.sharepoint.com/sites/Tumortrackingresearch/Shared Documents/General/Theses/Isaac/Master's Thesis/ohio-state-coe-dissertation-template/"/>
    </mc:Choice>
  </mc:AlternateContent>
  <xr:revisionPtr revIDLastSave="325" documentId="14_{BDDE5BD9-9B9B-1147-BD62-444B36ECC1DB}" xr6:coauthVersionLast="47" xr6:coauthVersionMax="47" xr10:uidLastSave="{1C2FB7DB-7D43-A141-A657-0FE54195A771}"/>
  <bookViews>
    <workbookView xWindow="980" yWindow="500" windowWidth="34860" windowHeight="21900" xr2:uid="{16E6A821-3DC4-194B-96AE-E7BDD0CEA9F6}"/>
  </bookViews>
  <sheets>
    <sheet name="Final Stats" sheetId="4" r:id="rId1"/>
    <sheet name="Introduction" sheetId="2" r:id="rId2"/>
    <sheet name="Literature Review" sheetId="1" r:id="rId3"/>
    <sheet name="Methodology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1" i="1" l="1"/>
  <c r="H22" i="1"/>
  <c r="H23" i="1"/>
  <c r="H24" i="1"/>
  <c r="H25" i="1"/>
  <c r="H26" i="1"/>
  <c r="H27" i="1"/>
  <c r="H28" i="1"/>
  <c r="H29" i="1"/>
  <c r="H30" i="1"/>
  <c r="H31" i="1"/>
  <c r="H32" i="1"/>
  <c r="H20" i="1"/>
</calcChain>
</file>

<file path=xl/sharedStrings.xml><?xml version="1.0" encoding="utf-8"?>
<sst xmlns="http://schemas.openxmlformats.org/spreadsheetml/2006/main" count="177" uniqueCount="165">
  <si>
    <t>Seroma Visibility (RefID 25)</t>
  </si>
  <si>
    <t>Highly Visible</t>
  </si>
  <si>
    <t>Visible</t>
  </si>
  <si>
    <t>Subtle</t>
  </si>
  <si>
    <t>Not Visible</t>
  </si>
  <si>
    <t>Team/Researcher</t>
  </si>
  <si>
    <t>General Contribution(s)</t>
  </si>
  <si>
    <t>Time Working on Project</t>
  </si>
  <si>
    <t>Senior Capstone Group</t>
  </si>
  <si>
    <t>- Identified initial pain points and opportunity
- Evaluated various end-product concepts
- Selected ideal form factor and developed initial device prototype</t>
  </si>
  <si>
    <t>2022</t>
  </si>
  <si>
    <t>Adrian Bakhtar</t>
  </si>
  <si>
    <t>- Continued work started by senior capstone team
- Worked with stakeholders to refine device design
- Optimized device geometry, printability, and adhesive capabilities
- Defended master's thesis and is continuing research through a PhD</t>
  </si>
  <si>
    <t>2022 – Present</t>
  </si>
  <si>
    <t>Zuhaib Jama</t>
  </si>
  <si>
    <t>- Evaluated potential stresses experienced by the device via FEM
- Presented findings at research poster symposium</t>
  </si>
  <si>
    <t>Isaac Einstein</t>
  </si>
  <si>
    <t>- Evaluated material properties of device base material
- Presented findings through a research poster symposium and undergraduate thesis</t>
  </si>
  <si>
    <t>2023 - 2024</t>
  </si>
  <si>
    <t>Material</t>
  </si>
  <si>
    <t>Extrusion Temperature (ºC)</t>
  </si>
  <si>
    <t>Bed Temperature (ºC)</t>
  </si>
  <si>
    <t>Glass Transition Temperature (ºC)</t>
  </si>
  <si>
    <t>160 – 230</t>
  </si>
  <si>
    <t>20 – 60</t>
  </si>
  <si>
    <t>60 – 65</t>
  </si>
  <si>
    <t>115 – 145</t>
  </si>
  <si>
    <t>PCL (RefID 418)</t>
  </si>
  <si>
    <t>PLA (RefID 307)</t>
  </si>
  <si>
    <t>30 – 45</t>
  </si>
  <si>
    <t>35 – 40</t>
  </si>
  <si>
    <t>PLCL (RefID 18, 204)</t>
  </si>
  <si>
    <t>180 – 230</t>
  </si>
  <si>
    <t>18 – 30</t>
  </si>
  <si>
    <t>PCL</t>
  </si>
  <si>
    <t>Tensile Modulus (Et)</t>
  </si>
  <si>
    <t>Compressive Modulus (Ecomp)</t>
  </si>
  <si>
    <t>Tensile Yield Strength</t>
  </si>
  <si>
    <t>440 ± 3 Mpa (ID46)
417 ± 25 Mpa (ID133)</t>
  </si>
  <si>
    <t>455 ± 2 Mpa (ID46)</t>
  </si>
  <si>
    <t>414 ± 10 Mpa (ID46)</t>
  </si>
  <si>
    <t>17.82 ± 0.47 Mpa (ID46)
14.7 ± 1.3 MPa (ID133)</t>
  </si>
  <si>
    <t>PLA</t>
  </si>
  <si>
    <t>PLCL (70/30)</t>
  </si>
  <si>
    <t>12 ± 1.2 Mpa (Secant Modulus at 0.2% strain) (ID31)</t>
  </si>
  <si>
    <t>17.2 ± 0.7 MPa (ID31)
16.1 ± 3.2 Mpa (ID19)</t>
  </si>
  <si>
    <t>55.9 ± 6.5 (ID133)
50 Mpa (ID434)</t>
  </si>
  <si>
    <t>Flexural Modulus (Eflex)</t>
  </si>
  <si>
    <t>3800 Mpa (ID343)</t>
  </si>
  <si>
    <t>3015 ± 86 Mpa (ID133)
3600 Mpa (ID343)</t>
  </si>
  <si>
    <t>Strength</t>
  </si>
  <si>
    <t>Ability of a material to resist externally applied forces without breaking or yielding</t>
  </si>
  <si>
    <t>Stiffness</t>
  </si>
  <si>
    <t>Ability of a material to resist deformation under stress</t>
  </si>
  <si>
    <t>Elasticity</t>
  </si>
  <si>
    <t>Ability of a material to regain its orginial shape after deformation</t>
  </si>
  <si>
    <t>Plasticity</t>
  </si>
  <si>
    <t>Ability of a material to undergo some degree of permanent deformation without failure</t>
  </si>
  <si>
    <t>Brittleness</t>
  </si>
  <si>
    <t>Ability of a material to fracture or break with minimal elongation</t>
  </si>
  <si>
    <t>Term</t>
  </si>
  <si>
    <t>Definition</t>
  </si>
  <si>
    <t>Standard</t>
  </si>
  <si>
    <t>Title</t>
  </si>
  <si>
    <t>ASTM D5947-24</t>
  </si>
  <si>
    <t>Standard Test Methods for Physical Dimensions of Solid Plastics Specimens</t>
  </si>
  <si>
    <t>RefID</t>
  </si>
  <si>
    <t>ASTM F640-20</t>
  </si>
  <si>
    <t>Standard Test Methods for Determining Radiopacity for Medical Use</t>
  </si>
  <si>
    <t>ASTM D1238-23a</t>
  </si>
  <si>
    <t>Standard Test Metod for Melt Flow Rates of Thermopastics by Extrusion Plastometer</t>
  </si>
  <si>
    <t>ASTM D790-17</t>
  </si>
  <si>
    <t>Standard Test Methods for Flexural Properties of Unreinforced and Reinforced Plastics and Electrical Insulation Materials</t>
  </si>
  <si>
    <t>ASTM D638-14</t>
  </si>
  <si>
    <t>Standard Test Method for Tensile Properties of Plastics</t>
  </si>
  <si>
    <t>Heater</t>
  </si>
  <si>
    <t>Temperature (˚C)</t>
  </si>
  <si>
    <t>H4</t>
  </si>
  <si>
    <t>H3</t>
  </si>
  <si>
    <t>H2</t>
  </si>
  <si>
    <t>H1</t>
  </si>
  <si>
    <t>Temperature</t>
  </si>
  <si>
    <t>Extrudability</t>
  </si>
  <si>
    <t>Sourcing</t>
  </si>
  <si>
    <t>Device Body</t>
  </si>
  <si>
    <t>Ball Bearings</t>
  </si>
  <si>
    <t>3D Printed (PLA)</t>
  </si>
  <si>
    <t>Labs or 3D Printed (PLA)</t>
  </si>
  <si>
    <t>Ring Stand</t>
  </si>
  <si>
    <t>Labs</t>
  </si>
  <si>
    <t>Stepper Motor</t>
  </si>
  <si>
    <t>Gearbox</t>
  </si>
  <si>
    <t>Drive Belt</t>
  </si>
  <si>
    <t>3D Printed (TPU)</t>
  </si>
  <si>
    <t>UI Components</t>
  </si>
  <si>
    <t>Purging Compound</t>
  </si>
  <si>
    <t>Ideal Material</t>
  </si>
  <si>
    <t>Requires HDPE</t>
  </si>
  <si>
    <t>DP-D2</t>
  </si>
  <si>
    <t>DP-L</t>
  </si>
  <si>
    <t>Yes</t>
  </si>
  <si>
    <t>No</t>
  </si>
  <si>
    <t>Percentage of BaSO4</t>
  </si>
  <si>
    <t>Average Filament Thickness (mm)</t>
  </si>
  <si>
    <t>Starting Time (s)</t>
  </si>
  <si>
    <t>Ending Time (s)</t>
  </si>
  <si>
    <t>Lab</t>
  </si>
  <si>
    <t>Research Assistance</t>
  </si>
  <si>
    <t>Relevant Sections in Thesis</t>
  </si>
  <si>
    <t>Polymer Synthesis Research Facility (PSRF)</t>
  </si>
  <si>
    <t>- GPC testing
- Material drying pre-extrusion
- Discussion on methods to chemically combine PLA and PCL
- Able to borrow a mortar and pestle to explore pulverizing filament options</t>
  </si>
  <si>
    <t>Stephanie Spielman Comprehensive Cancer Center (OSUCCC)</t>
  </si>
  <si>
    <t>- Conducted all imaging studies and analysis</t>
  </si>
  <si>
    <t>Center for Design and Manufacturing Excellence (CDME)</t>
  </si>
  <si>
    <t>- Tensile and Flexural testing
- Observed filament regrinding capabilities</t>
  </si>
  <si>
    <t>College of Pharmacy</t>
  </si>
  <si>
    <t>- Toured research facilities
- Discussed methods of creating a homogenous mixture</t>
  </si>
  <si>
    <t>Engineering Education Department (EED)</t>
  </si>
  <si>
    <t>- 3D printer troubleshooting
- Able to borrow a Bambu P1P for initial testing</t>
  </si>
  <si>
    <t>Industrial and Systems Engineering Department (ISE)</t>
  </si>
  <si>
    <t>- Discussed various extrusion questions and troubleshooting
- Able to use supply of HDPE pellets for initial testing</t>
  </si>
  <si>
    <t>Gear Lab</t>
  </si>
  <si>
    <t>- Discussed various gear system questions
- Helped brainstorm modifications to starve feeder system
- Able to use existing gear and belt system for a more robust drive system</t>
  </si>
  <si>
    <t>Literature Review Section</t>
  </si>
  <si>
    <t>sec:methodology:customerDiscovery</t>
  </si>
  <si>
    <t>sec:literatureReview:currentMethods</t>
  </si>
  <si>
    <t>sec:methodology:extrudingPLCL</t>
  </si>
  <si>
    <t>sec:methodology:extrudingBaSO4</t>
  </si>
  <si>
    <t>sec:literatureReview:extrusion</t>
  </si>
  <si>
    <t>sec:literatureReview:extrusion:purging</t>
  </si>
  <si>
    <t>sec:methodology:extrudingPLCL:purgingExtruder</t>
  </si>
  <si>
    <t>sec:methodology:3dPrintingBaSO4</t>
  </si>
  <si>
    <t>sec:literatureReview:printing</t>
  </si>
  <si>
    <t>sec:methodology:effectsOfBaSO4:tensileTesting</t>
  </si>
  <si>
    <t>sec:methodology:effectsOfBaSO4:flexuralTesting</t>
  </si>
  <si>
    <t>sec:literatureReview:PLCL</t>
  </si>
  <si>
    <t>sec:methodology:extrudingPLCL:pelletExtrusions:combiningMaterials</t>
  </si>
  <si>
    <t>sec:methodology:3dPrintingPLCL</t>
  </si>
  <si>
    <t>sec:literatureReview:alternativeDevices</t>
  </si>
  <si>
    <t>sec:discussion:extrudingPLCL:powderExtrusion</t>
  </si>
  <si>
    <t>sec:methodology:effectsOfBaSO4:imagingStudy</t>
  </si>
  <si>
    <t>sec:literatureReview:radiopaque</t>
  </si>
  <si>
    <t>sec:literatureReview:imaging</t>
  </si>
  <si>
    <t>sec:literatureReview:materials</t>
  </si>
  <si>
    <t>sec:methodology:effectsOfBaSO4</t>
  </si>
  <si>
    <t>sec:literatureReview:testing</t>
  </si>
  <si>
    <t>sec:results:effectsOfBaSO4:tensileTesting</t>
  </si>
  <si>
    <t>sec:literatureReview:characterization</t>
  </si>
  <si>
    <t>sec:methodology:materialCharacterization</t>
  </si>
  <si>
    <t>sec:conclusion:futureWork:blendCharacterization</t>
  </si>
  <si>
    <t>sec:conclusion:futureWork:testingPLCL</t>
  </si>
  <si>
    <t>sec:literatureReview:roadmap</t>
  </si>
  <si>
    <t>sec:methodology:starveFeeder:systemReDesign:beltTensioningPrototyping</t>
  </si>
  <si>
    <t>sec:literatureReview:beltTension</t>
  </si>
  <si>
    <t>Relevance in Thesis</t>
  </si>
  <si>
    <t>Page Count</t>
  </si>
  <si>
    <t>TOC</t>
  </si>
  <si>
    <t>Total Counts</t>
  </si>
  <si>
    <t>Figures</t>
  </si>
  <si>
    <t>Tables</t>
  </si>
  <si>
    <t>References</t>
  </si>
  <si>
    <t>Bibliography</t>
  </si>
  <si>
    <t>Literature Review</t>
  </si>
  <si>
    <t>Written Pages</t>
  </si>
  <si>
    <t>Final Page Count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</si>
</sst>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7"/>
      <color rgb="FF000000"/>
      <name val="Aptos Narrow"/>
      <family val="2"/>
      <scheme val="minor"/>
    </font>
    <font>
      <sz val="12"/>
      <color rgb="FFABB2BF"/>
      <name val="Menlo"/>
      <family val="2"/>
    </font>
    <font>
      <sz val="12"/>
      <color rgb="FFD19A66"/>
      <name val="Menlo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0" fillId="3" borderId="0" xfId="0" applyFill="1"/>
    <xf numFmtId="0" fontId="0" fillId="3" borderId="1" xfId="0" applyFill="1" applyBorder="1"/>
    <xf numFmtId="0" fontId="0" fillId="3" borderId="2" xfId="0" applyFill="1" applyBorder="1"/>
    <xf numFmtId="0" fontId="0" fillId="3" borderId="3" xfId="0" applyFill="1" applyBorder="1"/>
    <xf numFmtId="0" fontId="0" fillId="3" borderId="4" xfId="0" applyFill="1" applyBorder="1"/>
    <xf numFmtId="0" fontId="0" fillId="3" borderId="5" xfId="0" applyFill="1" applyBorder="1"/>
    <xf numFmtId="0" fontId="0" fillId="3" borderId="6" xfId="0" applyFill="1" applyBorder="1"/>
    <xf numFmtId="0" fontId="0" fillId="3" borderId="9" xfId="0" applyFill="1" applyBorder="1"/>
    <xf numFmtId="0" fontId="0" fillId="3" borderId="10" xfId="0" applyFill="1" applyBorder="1"/>
    <xf numFmtId="0" fontId="0" fillId="3" borderId="11" xfId="0" applyFill="1" applyBorder="1"/>
    <xf numFmtId="0" fontId="0" fillId="3" borderId="12" xfId="0" applyFill="1" applyBorder="1"/>
    <xf numFmtId="0" fontId="0" fillId="3" borderId="13" xfId="0" applyFill="1" applyBorder="1"/>
    <xf numFmtId="0" fontId="0" fillId="3" borderId="14" xfId="0" applyFill="1" applyBorder="1"/>
    <xf numFmtId="0" fontId="0" fillId="3" borderId="15" xfId="0" applyFill="1" applyBorder="1"/>
    <xf numFmtId="0" fontId="2" fillId="0" borderId="0" xfId="0" applyFont="1" applyAlignment="1">
      <alignment horizontal="center" wrapText="1"/>
    </xf>
    <xf numFmtId="0" fontId="2" fillId="0" borderId="16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12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2" fillId="0" borderId="13" xfId="0" applyFont="1" applyBorder="1" applyAlignment="1">
      <alignment horizontal="center"/>
    </xf>
    <xf numFmtId="0" fontId="2" fillId="0" borderId="14" xfId="0" applyFont="1" applyBorder="1" applyAlignment="1">
      <alignment horizontal="center" wrapText="1"/>
    </xf>
    <xf numFmtId="0" fontId="2" fillId="0" borderId="15" xfId="0" applyFont="1" applyBorder="1" applyAlignment="1">
      <alignment horizontal="center"/>
    </xf>
    <xf numFmtId="0" fontId="0" fillId="3" borderId="16" xfId="0" applyFill="1" applyBorder="1"/>
    <xf numFmtId="0" fontId="0" fillId="3" borderId="17" xfId="0" applyFill="1" applyBorder="1"/>
    <xf numFmtId="0" fontId="0" fillId="3" borderId="19" xfId="0" applyFill="1" applyBorder="1"/>
    <xf numFmtId="0" fontId="1" fillId="3" borderId="1" xfId="0" applyFont="1" applyFill="1" applyBorder="1"/>
    <xf numFmtId="0" fontId="1" fillId="3" borderId="18" xfId="0" applyFont="1" applyFill="1" applyBorder="1"/>
    <xf numFmtId="0" fontId="1" fillId="3" borderId="2" xfId="0" applyFont="1" applyFill="1" applyBorder="1"/>
    <xf numFmtId="0" fontId="1" fillId="3" borderId="3" xfId="0" applyFont="1" applyFill="1" applyBorder="1"/>
    <xf numFmtId="0" fontId="1" fillId="3" borderId="5" xfId="0" applyFont="1" applyFill="1" applyBorder="1"/>
    <xf numFmtId="0" fontId="0" fillId="3" borderId="17" xfId="0" applyFill="1" applyBorder="1" applyAlignment="1">
      <alignment vertical="center"/>
    </xf>
    <xf numFmtId="0" fontId="0" fillId="3" borderId="17" xfId="0" applyFill="1" applyBorder="1" applyAlignment="1">
      <alignment vertical="center" wrapText="1"/>
    </xf>
    <xf numFmtId="0" fontId="0" fillId="3" borderId="3" xfId="0" applyFill="1" applyBorder="1" applyAlignment="1">
      <alignment vertical="center"/>
    </xf>
    <xf numFmtId="0" fontId="0" fillId="3" borderId="1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0" xfId="0" applyFill="1" applyAlignment="1">
      <alignment wrapText="1"/>
    </xf>
    <xf numFmtId="0" fontId="0" fillId="3" borderId="0" xfId="0" quotePrefix="1" applyFill="1" applyAlignment="1">
      <alignment wrapText="1"/>
    </xf>
    <xf numFmtId="0" fontId="0" fillId="3" borderId="0" xfId="0" quotePrefix="1" applyFill="1"/>
    <xf numFmtId="0" fontId="1" fillId="2" borderId="7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/>
    </xf>
    <xf numFmtId="0" fontId="0" fillId="3" borderId="0" xfId="0" applyFill="1" applyBorder="1"/>
    <xf numFmtId="0" fontId="0" fillId="3" borderId="20" xfId="0" applyFill="1" applyBorder="1" applyAlignment="1">
      <alignment vertical="center"/>
    </xf>
    <xf numFmtId="0" fontId="0" fillId="3" borderId="20" xfId="0" applyFill="1" applyBorder="1" applyAlignment="1">
      <alignment vertical="center" wrapText="1"/>
    </xf>
    <xf numFmtId="0" fontId="0" fillId="3" borderId="21" xfId="0" applyFill="1" applyBorder="1"/>
    <xf numFmtId="0" fontId="0" fillId="3" borderId="22" xfId="0" applyFill="1" applyBorder="1"/>
    <xf numFmtId="0" fontId="3" fillId="0" borderId="0" xfId="0" applyFont="1" applyBorder="1"/>
    <xf numFmtId="0" fontId="4" fillId="0" borderId="0" xfId="0" applyFont="1" applyBorder="1"/>
    <xf numFmtId="0" fontId="0" fillId="3" borderId="23" xfId="0" applyFill="1" applyBorder="1"/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Seroma Visibility Across</a:t>
            </a:r>
            <a:r>
              <a:rPr lang="en-US" baseline="0"/>
              <a:t> 30 Patients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 w="19050">
              <a:solidFill>
                <a:schemeClr val="lt1"/>
              </a:solidFill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9F3-A94F-BA83-155C97931300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6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9F3-A94F-BA83-155C97931300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2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59F3-A94F-BA83-155C97931300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9F3-A94F-BA83-155C9793130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'Literature Review'!$A$2:$A$5</c:f>
              <c:strCache>
                <c:ptCount val="4"/>
                <c:pt idx="0">
                  <c:v>Highly Visible</c:v>
                </c:pt>
                <c:pt idx="1">
                  <c:v>Visible</c:v>
                </c:pt>
                <c:pt idx="2">
                  <c:v>Subtle</c:v>
                </c:pt>
                <c:pt idx="3">
                  <c:v>Not Visible</c:v>
                </c:pt>
              </c:strCache>
            </c:strRef>
          </c:cat>
          <c:val>
            <c:numRef>
              <c:f>'Literature Review'!$B$2:$B$5</c:f>
              <c:numCache>
                <c:formatCode>General</c:formatCode>
                <c:ptCount val="4"/>
                <c:pt idx="0">
                  <c:v>8</c:v>
                </c:pt>
                <c:pt idx="1">
                  <c:v>10</c:v>
                </c:pt>
                <c:pt idx="2">
                  <c:v>6</c:v>
                </c:pt>
                <c:pt idx="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9F3-A94F-BA83-155C979313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2142970144"/>
        <c:axId val="2142998880"/>
      </c:barChart>
      <c:catAx>
        <c:axId val="214297014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42998880"/>
        <c:crosses val="autoZero"/>
        <c:auto val="1"/>
        <c:lblAlgn val="ctr"/>
        <c:lblOffset val="100"/>
        <c:noMultiLvlLbl val="0"/>
      </c:catAx>
      <c:valAx>
        <c:axId val="2142998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429701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Methodology!$B$8</c:f>
              <c:strCache>
                <c:ptCount val="1"/>
                <c:pt idx="0">
                  <c:v>Extrudability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Methodology!$A$9:$A$21</c:f>
              <c:numCache>
                <c:formatCode>General</c:formatCode>
                <c:ptCount val="13"/>
                <c:pt idx="0">
                  <c:v>60</c:v>
                </c:pt>
                <c:pt idx="1">
                  <c:v>70</c:v>
                </c:pt>
                <c:pt idx="2">
                  <c:v>80</c:v>
                </c:pt>
                <c:pt idx="3">
                  <c:v>90</c:v>
                </c:pt>
                <c:pt idx="4">
                  <c:v>100</c:v>
                </c:pt>
                <c:pt idx="5">
                  <c:v>110</c:v>
                </c:pt>
                <c:pt idx="6">
                  <c:v>120</c:v>
                </c:pt>
                <c:pt idx="7">
                  <c:v>130</c:v>
                </c:pt>
                <c:pt idx="8">
                  <c:v>140</c:v>
                </c:pt>
                <c:pt idx="9">
                  <c:v>150</c:v>
                </c:pt>
                <c:pt idx="10">
                  <c:v>160</c:v>
                </c:pt>
                <c:pt idx="11">
                  <c:v>170</c:v>
                </c:pt>
                <c:pt idx="12">
                  <c:v>180</c:v>
                </c:pt>
              </c:numCache>
            </c:numRef>
          </c:xVal>
          <c:yVal>
            <c:numRef>
              <c:f>Methodology!$B$9:$B$21</c:f>
              <c:numCache>
                <c:formatCode>General</c:formatCode>
                <c:ptCount val="13"/>
                <c:pt idx="0">
                  <c:v>1</c:v>
                </c:pt>
                <c:pt idx="1">
                  <c:v>1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967-7A48-9243-1F3FB88B61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4348336"/>
        <c:axId val="766442656"/>
      </c:scatterChart>
      <c:valAx>
        <c:axId val="5043483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6442656"/>
        <c:crosses val="autoZero"/>
        <c:crossBetween val="midCat"/>
      </c:valAx>
      <c:valAx>
        <c:axId val="766442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043483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353105</xdr:colOff>
      <xdr:row>0</xdr:row>
      <xdr:rowOff>0</xdr:rowOff>
    </xdr:from>
    <xdr:to>
      <xdr:col>6</xdr:col>
      <xdr:colOff>491850</xdr:colOff>
      <xdr:row>9</xdr:row>
      <xdr:rowOff>191895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CFC9979-958C-7329-5F10-BC836EFE4FD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660400</xdr:colOff>
      <xdr:row>7</xdr:row>
      <xdr:rowOff>38100</xdr:rowOff>
    </xdr:from>
    <xdr:to>
      <xdr:col>8</xdr:col>
      <xdr:colOff>279400</xdr:colOff>
      <xdr:row>20</xdr:row>
      <xdr:rowOff>139700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C9D9F43-CC4F-0346-67E1-B1A3E79EBBF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5715ED-470B-E24D-BBDD-00B194BE0E18}">
  <dimension ref="A1:E6"/>
  <sheetViews>
    <sheetView tabSelected="1" zoomScale="283" workbookViewId="0">
      <selection activeCell="D5" sqref="D5"/>
    </sheetView>
  </sheetViews>
  <sheetFormatPr baseColWidth="10" defaultRowHeight="16" x14ac:dyDescent="0.2"/>
  <cols>
    <col min="1" max="1" width="10.33203125" bestFit="1" customWidth="1"/>
    <col min="2" max="2" width="4.1640625" bestFit="1" customWidth="1"/>
    <col min="4" max="4" width="15.33203125" bestFit="1" customWidth="1"/>
    <col min="5" max="5" width="4.1640625" bestFit="1" customWidth="1"/>
  </cols>
  <sheetData>
    <row r="1" spans="1:5" ht="17" thickBot="1" x14ac:dyDescent="0.25">
      <c r="A1" s="50" t="s">
        <v>157</v>
      </c>
      <c r="B1" s="51"/>
      <c r="D1" s="50" t="s">
        <v>155</v>
      </c>
      <c r="E1" s="51"/>
    </row>
    <row r="2" spans="1:5" x14ac:dyDescent="0.2">
      <c r="A2" t="s">
        <v>158</v>
      </c>
      <c r="B2">
        <v>130</v>
      </c>
      <c r="D2" t="s">
        <v>156</v>
      </c>
      <c r="E2">
        <v>9</v>
      </c>
    </row>
    <row r="3" spans="1:5" x14ac:dyDescent="0.2">
      <c r="A3" t="s">
        <v>159</v>
      </c>
      <c r="B3">
        <v>33</v>
      </c>
      <c r="D3" t="s">
        <v>161</v>
      </c>
      <c r="E3">
        <v>17</v>
      </c>
    </row>
    <row r="4" spans="1:5" x14ac:dyDescent="0.2">
      <c r="A4" t="s">
        <v>160</v>
      </c>
      <c r="B4">
        <v>188</v>
      </c>
      <c r="D4" t="s">
        <v>162</v>
      </c>
      <c r="E4">
        <v>60</v>
      </c>
    </row>
    <row r="5" spans="1:5" x14ac:dyDescent="0.2">
      <c r="D5" t="s">
        <v>163</v>
      </c>
      <c r="E5">
        <v>221</v>
      </c>
    </row>
    <row r="6" spans="1:5" x14ac:dyDescent="0.2">
      <c r="D6" t="s">
        <v>164</v>
      </c>
      <c r="E6">
        <v>311</v>
      </c>
    </row>
  </sheetData>
  <mergeCells count="2">
    <mergeCell ref="A1:B1"/>
    <mergeCell ref="D1:E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6216C1-5646-664A-92BE-4FE78C39E120}">
  <dimension ref="A1:D6"/>
  <sheetViews>
    <sheetView zoomScale="173" workbookViewId="0">
      <selection activeCell="A2" sqref="A2"/>
    </sheetView>
  </sheetViews>
  <sheetFormatPr baseColWidth="10" defaultRowHeight="16" x14ac:dyDescent="0.2"/>
  <cols>
    <col min="1" max="1" width="12" style="1" bestFit="1" customWidth="1"/>
    <col min="2" max="2" width="18.6640625" style="1" bestFit="1" customWidth="1"/>
    <col min="3" max="3" width="12.1640625" style="1" bestFit="1" customWidth="1"/>
    <col min="4" max="4" width="2.83203125" style="1" customWidth="1"/>
    <col min="5" max="16384" width="10.83203125" style="1"/>
  </cols>
  <sheetData>
    <row r="1" spans="1:4" x14ac:dyDescent="0.2">
      <c r="A1" s="16" t="s">
        <v>5</v>
      </c>
      <c r="B1" s="17" t="s">
        <v>6</v>
      </c>
      <c r="C1" s="18" t="s">
        <v>7</v>
      </c>
      <c r="D1" s="9"/>
    </row>
    <row r="2" spans="1:4" ht="67" x14ac:dyDescent="0.2">
      <c r="A2" s="19" t="s">
        <v>8</v>
      </c>
      <c r="B2" s="15" t="s">
        <v>9</v>
      </c>
      <c r="C2" s="20" t="s">
        <v>10</v>
      </c>
      <c r="D2" s="10"/>
    </row>
    <row r="3" spans="1:4" ht="89" x14ac:dyDescent="0.2">
      <c r="A3" s="19" t="s">
        <v>11</v>
      </c>
      <c r="B3" s="15" t="s">
        <v>12</v>
      </c>
      <c r="C3" s="20" t="s">
        <v>13</v>
      </c>
      <c r="D3" s="10"/>
    </row>
    <row r="4" spans="1:4" ht="45" x14ac:dyDescent="0.2">
      <c r="A4" s="19" t="s">
        <v>14</v>
      </c>
      <c r="B4" s="15" t="s">
        <v>15</v>
      </c>
      <c r="C4" s="20">
        <v>2024</v>
      </c>
      <c r="D4" s="10"/>
    </row>
    <row r="5" spans="1:4" ht="57" thickBot="1" x14ac:dyDescent="0.25">
      <c r="A5" s="21" t="s">
        <v>16</v>
      </c>
      <c r="B5" s="22" t="s">
        <v>17</v>
      </c>
      <c r="C5" s="23" t="s">
        <v>18</v>
      </c>
      <c r="D5" s="10"/>
    </row>
    <row r="6" spans="1:4" ht="17" thickBot="1" x14ac:dyDescent="0.25">
      <c r="A6" s="12"/>
      <c r="B6" s="13"/>
      <c r="C6" s="13"/>
      <c r="D6" s="14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AF9E8A-4B25-1B41-82F3-06803E42F3DE}">
  <dimension ref="A1:L33"/>
  <sheetViews>
    <sheetView topLeftCell="J4" zoomScale="173" workbookViewId="0">
      <selection activeCell="L17" sqref="L17"/>
    </sheetView>
  </sheetViews>
  <sheetFormatPr baseColWidth="10" defaultRowHeight="16" x14ac:dyDescent="0.2"/>
  <cols>
    <col min="1" max="1" width="18.33203125" style="1" bestFit="1" customWidth="1"/>
    <col min="2" max="2" width="43.33203125" style="1" bestFit="1" customWidth="1"/>
    <col min="3" max="3" width="26.33203125" style="1" bestFit="1" customWidth="1"/>
    <col min="4" max="4" width="29.6640625" style="1" bestFit="1" customWidth="1"/>
    <col min="5" max="5" width="18.5" style="1" bestFit="1" customWidth="1"/>
    <col min="6" max="6" width="10.83203125" style="1"/>
    <col min="7" max="7" width="50.6640625" style="1" bestFit="1" customWidth="1"/>
    <col min="8" max="8" width="111" style="1" bestFit="1" customWidth="1"/>
    <col min="9" max="9" width="25.1640625" style="1" customWidth="1"/>
    <col min="10" max="10" width="10" style="1" bestFit="1" customWidth="1"/>
    <col min="11" max="11" width="70.83203125" style="1" bestFit="1" customWidth="1"/>
    <col min="12" max="16384" width="10.83203125" style="1"/>
  </cols>
  <sheetData>
    <row r="1" spans="1:12" ht="17" thickBot="1" x14ac:dyDescent="0.25">
      <c r="A1" s="40" t="s">
        <v>0</v>
      </c>
      <c r="B1" s="41"/>
      <c r="C1" s="8"/>
      <c r="D1" s="8"/>
      <c r="E1" s="8"/>
      <c r="F1" s="8"/>
      <c r="G1" s="8"/>
      <c r="H1" s="9"/>
      <c r="I1" s="8"/>
      <c r="J1" s="35" t="s">
        <v>60</v>
      </c>
      <c r="K1" s="36" t="s">
        <v>61</v>
      </c>
      <c r="L1" s="9"/>
    </row>
    <row r="2" spans="1:12" x14ac:dyDescent="0.2">
      <c r="A2" s="2" t="s">
        <v>1</v>
      </c>
      <c r="B2" s="3">
        <v>8</v>
      </c>
      <c r="H2" s="10"/>
      <c r="J2" s="4" t="s">
        <v>50</v>
      </c>
      <c r="K2" s="5" t="s">
        <v>51</v>
      </c>
      <c r="L2" s="10"/>
    </row>
    <row r="3" spans="1:12" x14ac:dyDescent="0.2">
      <c r="A3" s="4" t="s">
        <v>2</v>
      </c>
      <c r="B3" s="5">
        <v>10</v>
      </c>
      <c r="H3" s="10"/>
      <c r="J3" s="4" t="s">
        <v>52</v>
      </c>
      <c r="K3" s="5" t="s">
        <v>53</v>
      </c>
      <c r="L3" s="10"/>
    </row>
    <row r="4" spans="1:12" x14ac:dyDescent="0.2">
      <c r="A4" s="4" t="s">
        <v>3</v>
      </c>
      <c r="B4" s="5">
        <v>6</v>
      </c>
      <c r="H4" s="10"/>
      <c r="J4" s="4" t="s">
        <v>54</v>
      </c>
      <c r="K4" s="5" t="s">
        <v>55</v>
      </c>
      <c r="L4" s="10"/>
    </row>
    <row r="5" spans="1:12" ht="17" thickBot="1" x14ac:dyDescent="0.25">
      <c r="A5" s="6" t="s">
        <v>4</v>
      </c>
      <c r="B5" s="7">
        <v>6</v>
      </c>
      <c r="H5" s="10"/>
      <c r="J5" s="4" t="s">
        <v>56</v>
      </c>
      <c r="K5" s="5" t="s">
        <v>57</v>
      </c>
      <c r="L5" s="10"/>
    </row>
    <row r="6" spans="1:12" ht="17" thickBot="1" x14ac:dyDescent="0.25">
      <c r="A6" s="11"/>
      <c r="H6" s="10"/>
      <c r="J6" s="6" t="s">
        <v>58</v>
      </c>
      <c r="K6" s="7" t="s">
        <v>59</v>
      </c>
      <c r="L6" s="10"/>
    </row>
    <row r="7" spans="1:12" x14ac:dyDescent="0.2">
      <c r="A7" s="11"/>
      <c r="H7" s="10"/>
      <c r="L7" s="10"/>
    </row>
    <row r="8" spans="1:12" ht="17" thickBot="1" x14ac:dyDescent="0.25">
      <c r="A8" s="11"/>
      <c r="H8" s="10"/>
      <c r="L8" s="10"/>
    </row>
    <row r="9" spans="1:12" x14ac:dyDescent="0.2">
      <c r="A9" s="11"/>
      <c r="G9" s="24"/>
      <c r="H9" s="9"/>
      <c r="I9" s="8"/>
      <c r="J9" s="8"/>
      <c r="K9" s="8"/>
      <c r="L9" s="9"/>
    </row>
    <row r="10" spans="1:12" x14ac:dyDescent="0.2">
      <c r="A10" s="11"/>
      <c r="G10" s="11"/>
      <c r="H10" s="10"/>
      <c r="I10" s="42"/>
      <c r="J10" s="42"/>
      <c r="K10" s="42"/>
      <c r="L10" s="10"/>
    </row>
    <row r="11" spans="1:12" ht="17" thickBot="1" x14ac:dyDescent="0.25">
      <c r="A11" s="12"/>
      <c r="B11" s="13"/>
      <c r="C11" s="13"/>
      <c r="D11" s="13"/>
      <c r="E11" s="13"/>
      <c r="F11" s="13"/>
      <c r="G11" s="12"/>
      <c r="H11" s="14"/>
      <c r="I11" s="42"/>
      <c r="J11" s="42" t="s">
        <v>62</v>
      </c>
      <c r="K11" s="42" t="s">
        <v>63</v>
      </c>
      <c r="L11" s="10" t="s">
        <v>66</v>
      </c>
    </row>
    <row r="12" spans="1:12" ht="17" thickBot="1" x14ac:dyDescent="0.25">
      <c r="A12" s="11"/>
      <c r="E12" s="10"/>
      <c r="G12" s="11"/>
      <c r="H12" s="42"/>
      <c r="I12" s="42"/>
      <c r="J12" s="42" t="s">
        <v>64</v>
      </c>
      <c r="K12" s="42" t="s">
        <v>65</v>
      </c>
      <c r="L12" s="10">
        <v>388</v>
      </c>
    </row>
    <row r="13" spans="1:12" x14ac:dyDescent="0.2">
      <c r="A13" s="27" t="s">
        <v>19</v>
      </c>
      <c r="B13" s="28" t="s">
        <v>20</v>
      </c>
      <c r="C13" s="28" t="s">
        <v>21</v>
      </c>
      <c r="D13" s="29" t="s">
        <v>22</v>
      </c>
      <c r="E13" s="10"/>
      <c r="G13" s="11"/>
      <c r="H13" s="42"/>
      <c r="I13" s="42"/>
      <c r="J13" s="42" t="s">
        <v>67</v>
      </c>
      <c r="K13" s="42" t="s">
        <v>68</v>
      </c>
      <c r="L13" s="10">
        <v>342</v>
      </c>
    </row>
    <row r="14" spans="1:12" x14ac:dyDescent="0.2">
      <c r="A14" s="30" t="s">
        <v>28</v>
      </c>
      <c r="B14" s="25" t="s">
        <v>23</v>
      </c>
      <c r="C14" s="25" t="s">
        <v>24</v>
      </c>
      <c r="D14" s="5" t="s">
        <v>25</v>
      </c>
      <c r="E14" s="10"/>
      <c r="G14" s="11"/>
      <c r="H14" s="42"/>
      <c r="I14" s="42"/>
      <c r="J14" s="42" t="s">
        <v>69</v>
      </c>
      <c r="K14" s="42" t="s">
        <v>70</v>
      </c>
      <c r="L14" s="10">
        <v>55</v>
      </c>
    </row>
    <row r="15" spans="1:12" x14ac:dyDescent="0.2">
      <c r="A15" s="30" t="s">
        <v>27</v>
      </c>
      <c r="B15" s="25" t="s">
        <v>26</v>
      </c>
      <c r="C15" s="25" t="s">
        <v>29</v>
      </c>
      <c r="D15" s="5">
        <v>-60</v>
      </c>
      <c r="E15" s="10"/>
      <c r="G15" s="11"/>
      <c r="H15" s="42"/>
      <c r="I15" s="42"/>
      <c r="J15" s="42" t="s">
        <v>71</v>
      </c>
      <c r="K15" s="42" t="s">
        <v>72</v>
      </c>
      <c r="L15" s="10">
        <v>5</v>
      </c>
    </row>
    <row r="16" spans="1:12" ht="17" thickBot="1" x14ac:dyDescent="0.25">
      <c r="A16" s="31" t="s">
        <v>31</v>
      </c>
      <c r="B16" s="26" t="s">
        <v>32</v>
      </c>
      <c r="C16" s="26" t="s">
        <v>33</v>
      </c>
      <c r="D16" s="7" t="s">
        <v>30</v>
      </c>
      <c r="E16" s="10"/>
      <c r="G16" s="11"/>
      <c r="H16" s="42"/>
      <c r="I16" s="42"/>
      <c r="J16" s="42" t="s">
        <v>73</v>
      </c>
      <c r="K16" s="42" t="s">
        <v>74</v>
      </c>
      <c r="L16" s="10">
        <v>4</v>
      </c>
    </row>
    <row r="17" spans="1:12" ht="17" thickBot="1" x14ac:dyDescent="0.25">
      <c r="A17" s="12"/>
      <c r="B17" s="13"/>
      <c r="C17" s="13"/>
      <c r="D17" s="13"/>
      <c r="E17" s="14"/>
      <c r="G17" s="11"/>
      <c r="H17" s="42"/>
      <c r="I17" s="42"/>
      <c r="J17" s="42"/>
      <c r="K17" s="42"/>
      <c r="L17" s="10"/>
    </row>
    <row r="18" spans="1:12" x14ac:dyDescent="0.2">
      <c r="A18" s="11"/>
      <c r="F18" s="45"/>
      <c r="G18" s="24"/>
      <c r="H18" s="8"/>
      <c r="I18" s="8"/>
      <c r="J18" s="8"/>
      <c r="K18" s="8"/>
      <c r="L18" s="9"/>
    </row>
    <row r="19" spans="1:12" x14ac:dyDescent="0.2">
      <c r="A19" s="34" t="s">
        <v>19</v>
      </c>
      <c r="B19" s="32" t="s">
        <v>35</v>
      </c>
      <c r="C19" s="32" t="s">
        <v>36</v>
      </c>
      <c r="D19" s="32" t="s">
        <v>47</v>
      </c>
      <c r="E19" s="43" t="s">
        <v>37</v>
      </c>
      <c r="F19" s="46"/>
      <c r="G19" s="11" t="s">
        <v>123</v>
      </c>
      <c r="H19" s="42" t="s">
        <v>154</v>
      </c>
      <c r="I19" s="42"/>
      <c r="J19" s="42"/>
      <c r="K19" s="42"/>
      <c r="L19" s="10"/>
    </row>
    <row r="20" spans="1:12" ht="68" x14ac:dyDescent="0.2">
      <c r="A20" s="34" t="s">
        <v>34</v>
      </c>
      <c r="B20" s="33" t="s">
        <v>38</v>
      </c>
      <c r="C20" s="32" t="s">
        <v>39</v>
      </c>
      <c r="D20" s="32" t="s">
        <v>40</v>
      </c>
      <c r="E20" s="44" t="s">
        <v>41</v>
      </c>
      <c r="F20" s="46"/>
      <c r="G20" s="47" t="s">
        <v>125</v>
      </c>
      <c r="H20" s="42" t="str">
        <f>_xlfn.TEXTJOIN("-"&amp;CHAR(10),TRUE,I20:N20)</f>
        <v>sec:methodology:customerDiscovery</v>
      </c>
      <c r="I20" s="48" t="s">
        <v>124</v>
      </c>
      <c r="J20" s="42"/>
      <c r="K20" s="42"/>
      <c r="L20" s="10"/>
    </row>
    <row r="21" spans="1:12" ht="34" x14ac:dyDescent="0.2">
      <c r="A21" s="34" t="s">
        <v>42</v>
      </c>
      <c r="B21" s="33" t="s">
        <v>49</v>
      </c>
      <c r="C21" s="32"/>
      <c r="D21" s="32" t="s">
        <v>48</v>
      </c>
      <c r="E21" s="44" t="s">
        <v>46</v>
      </c>
      <c r="F21" s="46"/>
      <c r="G21" s="47" t="s">
        <v>128</v>
      </c>
      <c r="H21" s="42" t="str">
        <f t="shared" ref="H21:H32" si="0">_xlfn.TEXTJOIN(",",TRUE,I21:N21)</f>
        <v>sec:methodology:extrudingBaSO4,sec:methodology:extrudingPLCL</v>
      </c>
      <c r="I21" s="48" t="s">
        <v>127</v>
      </c>
      <c r="J21" s="48" t="s">
        <v>126</v>
      </c>
      <c r="K21" s="42"/>
      <c r="L21" s="10"/>
    </row>
    <row r="22" spans="1:12" ht="34" x14ac:dyDescent="0.2">
      <c r="A22" s="34" t="s">
        <v>43</v>
      </c>
      <c r="B22" s="32" t="s">
        <v>44</v>
      </c>
      <c r="C22" s="32"/>
      <c r="D22" s="32"/>
      <c r="E22" s="44" t="s">
        <v>45</v>
      </c>
      <c r="F22" s="46"/>
      <c r="G22" s="47" t="s">
        <v>129</v>
      </c>
      <c r="H22" s="42" t="str">
        <f t="shared" si="0"/>
        <v>sec:methodology:extrudingPLCL:purgingExtruder</v>
      </c>
      <c r="I22" s="48" t="s">
        <v>130</v>
      </c>
      <c r="J22" s="42"/>
      <c r="K22" s="42"/>
      <c r="L22" s="10"/>
    </row>
    <row r="23" spans="1:12" x14ac:dyDescent="0.2">
      <c r="A23" s="11"/>
      <c r="F23" s="46"/>
      <c r="G23" s="47" t="s">
        <v>132</v>
      </c>
      <c r="H23" s="42" t="str">
        <f t="shared" si="0"/>
        <v>sec:methodology:3dPrintingBaSO4,sec:methodology:effectsOfBaSO4:tensileTesting,sec:methodology:effectsOfBaSO4:flexuralTesting</v>
      </c>
      <c r="I23" s="48" t="s">
        <v>131</v>
      </c>
      <c r="J23" s="48" t="s">
        <v>133</v>
      </c>
      <c r="K23" s="48" t="s">
        <v>134</v>
      </c>
      <c r="L23" s="10"/>
    </row>
    <row r="24" spans="1:12" ht="17" thickBot="1" x14ac:dyDescent="0.25">
      <c r="A24" s="12"/>
      <c r="B24" s="13"/>
      <c r="C24" s="13"/>
      <c r="D24" s="13"/>
      <c r="E24" s="13"/>
      <c r="F24" s="49"/>
      <c r="G24" s="47" t="s">
        <v>135</v>
      </c>
      <c r="H24" s="42" t="str">
        <f t="shared" si="0"/>
        <v>sec:methodology:extrudingPLCL:pelletExtrusions:combiningMaterials,sec:methodology:3dPrintingPLCL</v>
      </c>
      <c r="I24" s="48" t="s">
        <v>136</v>
      </c>
      <c r="J24" s="48" t="s">
        <v>137</v>
      </c>
      <c r="K24" s="42"/>
      <c r="L24" s="10"/>
    </row>
    <row r="25" spans="1:12" x14ac:dyDescent="0.2">
      <c r="F25" s="11"/>
      <c r="G25" s="47" t="s">
        <v>138</v>
      </c>
      <c r="H25" s="42" t="str">
        <f t="shared" si="0"/>
        <v>sec:discussion:extrudingPLCL:powderExtrusion</v>
      </c>
      <c r="I25" s="48" t="s">
        <v>139</v>
      </c>
      <c r="J25" s="42"/>
      <c r="K25" s="42"/>
      <c r="L25" s="10"/>
    </row>
    <row r="26" spans="1:12" x14ac:dyDescent="0.2">
      <c r="F26" s="11"/>
      <c r="G26" s="47" t="s">
        <v>141</v>
      </c>
      <c r="H26" s="42" t="str">
        <f t="shared" si="0"/>
        <v>sec:methodology:extrudingBaSO4,sec:methodology:3dPrintingBaSO4,sec:methodology:effectsOfBaSO4:imagingStudy</v>
      </c>
      <c r="I26" s="48" t="s">
        <v>127</v>
      </c>
      <c r="J26" s="48" t="s">
        <v>131</v>
      </c>
      <c r="K26" s="48" t="s">
        <v>140</v>
      </c>
      <c r="L26" s="10"/>
    </row>
    <row r="27" spans="1:12" x14ac:dyDescent="0.2">
      <c r="F27" s="11"/>
      <c r="G27" s="47" t="s">
        <v>142</v>
      </c>
      <c r="H27" s="42" t="str">
        <f t="shared" si="0"/>
        <v>sec:methodology:effectsOfBaSO4:imagingStudy</v>
      </c>
      <c r="I27" s="48" t="s">
        <v>140</v>
      </c>
      <c r="J27" s="42"/>
      <c r="K27" s="42"/>
      <c r="L27" s="10"/>
    </row>
    <row r="28" spans="1:12" x14ac:dyDescent="0.2">
      <c r="F28" s="11"/>
      <c r="G28" s="47" t="s">
        <v>143</v>
      </c>
      <c r="H28" s="42" t="str">
        <f t="shared" si="0"/>
        <v>sec:methodology:effectsOfBaSO4,sec:conclusion:futureWork:testingPLCL</v>
      </c>
      <c r="I28" s="48" t="s">
        <v>144</v>
      </c>
      <c r="J28" s="48" t="s">
        <v>150</v>
      </c>
      <c r="K28" s="42"/>
      <c r="L28" s="10"/>
    </row>
    <row r="29" spans="1:12" x14ac:dyDescent="0.2">
      <c r="F29" s="11"/>
      <c r="G29" s="47" t="s">
        <v>145</v>
      </c>
      <c r="H29" s="42" t="str">
        <f t="shared" si="0"/>
        <v>sec:results:effectsOfBaSO4:tensileTesting,sec:methodology:effectsOfBaSO4:flexuralTesting</v>
      </c>
      <c r="I29" s="48" t="s">
        <v>146</v>
      </c>
      <c r="J29" s="48" t="s">
        <v>134</v>
      </c>
      <c r="K29" s="42"/>
      <c r="L29" s="10"/>
    </row>
    <row r="30" spans="1:12" x14ac:dyDescent="0.2">
      <c r="F30" s="11"/>
      <c r="G30" s="47" t="s">
        <v>147</v>
      </c>
      <c r="H30" s="42" t="str">
        <f t="shared" si="0"/>
        <v>sec:methodology:materialCharacterization,sec:conclusion:futureWork:blendCharacterization</v>
      </c>
      <c r="I30" s="48" t="s">
        <v>148</v>
      </c>
      <c r="J30" s="48" t="s">
        <v>149</v>
      </c>
      <c r="K30" s="42"/>
      <c r="L30" s="10"/>
    </row>
    <row r="31" spans="1:12" x14ac:dyDescent="0.2">
      <c r="F31" s="11"/>
      <c r="G31" s="47" t="s">
        <v>151</v>
      </c>
      <c r="H31" s="42" t="str">
        <f t="shared" si="0"/>
        <v>sec:discussion:extrudingPLCL:powderExtrusion</v>
      </c>
      <c r="I31" s="48" t="s">
        <v>139</v>
      </c>
      <c r="J31" s="42"/>
      <c r="K31" s="42"/>
      <c r="L31" s="10"/>
    </row>
    <row r="32" spans="1:12" x14ac:dyDescent="0.2">
      <c r="F32" s="11"/>
      <c r="G32" s="47" t="s">
        <v>153</v>
      </c>
      <c r="H32" s="42" t="str">
        <f t="shared" si="0"/>
        <v>sec:methodology:starveFeeder:systemReDesign:beltTensioningPrototyping</v>
      </c>
      <c r="I32" s="48" t="s">
        <v>152</v>
      </c>
      <c r="J32" s="42"/>
      <c r="K32" s="42"/>
      <c r="L32" s="10"/>
    </row>
    <row r="33" spans="6:12" ht="17" thickBot="1" x14ac:dyDescent="0.25">
      <c r="F33" s="12"/>
      <c r="G33" s="13"/>
      <c r="H33" s="13"/>
      <c r="I33" s="13"/>
      <c r="J33" s="13"/>
      <c r="K33" s="13"/>
      <c r="L33" s="14"/>
    </row>
  </sheetData>
  <mergeCells count="1">
    <mergeCell ref="A1:B1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8BA31-1A52-274A-92D6-B57235D8D2B5}">
  <dimension ref="A1:O36"/>
  <sheetViews>
    <sheetView topLeftCell="D1" workbookViewId="0">
      <selection activeCell="M3" sqref="M3"/>
    </sheetView>
  </sheetViews>
  <sheetFormatPr baseColWidth="10" defaultRowHeight="16" x14ac:dyDescent="0.2"/>
  <cols>
    <col min="1" max="1" width="13.6640625" style="1" bestFit="1" customWidth="1"/>
    <col min="2" max="2" width="20.33203125" style="1" bestFit="1" customWidth="1"/>
    <col min="3" max="10" width="10.83203125" style="1"/>
    <col min="11" max="11" width="31" style="1" customWidth="1"/>
    <col min="12" max="12" width="28.33203125" style="1" customWidth="1"/>
    <col min="13" max="16384" width="10.83203125" style="1"/>
  </cols>
  <sheetData>
    <row r="1" spans="1:15" x14ac:dyDescent="0.2">
      <c r="A1" s="24" t="s">
        <v>75</v>
      </c>
      <c r="B1" s="8" t="s">
        <v>76</v>
      </c>
      <c r="C1" s="9"/>
      <c r="J1" s="24"/>
      <c r="K1" s="8" t="s">
        <v>106</v>
      </c>
      <c r="L1" s="8" t="s">
        <v>107</v>
      </c>
      <c r="M1" s="8" t="s">
        <v>108</v>
      </c>
      <c r="N1" s="8"/>
      <c r="O1" s="9"/>
    </row>
    <row r="2" spans="1:15" ht="119" x14ac:dyDescent="0.2">
      <c r="A2" s="11" t="s">
        <v>77</v>
      </c>
      <c r="B2" s="1">
        <v>140</v>
      </c>
      <c r="C2" s="10"/>
      <c r="J2" s="11"/>
      <c r="K2" s="37" t="s">
        <v>109</v>
      </c>
      <c r="L2" s="38" t="s">
        <v>110</v>
      </c>
      <c r="O2" s="10"/>
    </row>
    <row r="3" spans="1:15" ht="34" x14ac:dyDescent="0.2">
      <c r="A3" s="11" t="s">
        <v>78</v>
      </c>
      <c r="B3" s="1">
        <v>155</v>
      </c>
      <c r="C3" s="10"/>
      <c r="J3" s="11"/>
      <c r="K3" s="37" t="s">
        <v>111</v>
      </c>
      <c r="L3" s="39" t="s">
        <v>112</v>
      </c>
      <c r="O3" s="10"/>
    </row>
    <row r="4" spans="1:15" ht="51" x14ac:dyDescent="0.2">
      <c r="A4" s="11" t="s">
        <v>79</v>
      </c>
      <c r="B4" s="1">
        <v>160</v>
      </c>
      <c r="C4" s="10"/>
      <c r="J4" s="11"/>
      <c r="K4" s="1" t="s">
        <v>113</v>
      </c>
      <c r="L4" s="38" t="s">
        <v>114</v>
      </c>
      <c r="O4" s="10"/>
    </row>
    <row r="5" spans="1:15" ht="51" x14ac:dyDescent="0.2">
      <c r="A5" s="11" t="s">
        <v>80</v>
      </c>
      <c r="B5" s="1">
        <v>160</v>
      </c>
      <c r="C5" s="10"/>
      <c r="J5" s="11"/>
      <c r="K5" s="1" t="s">
        <v>115</v>
      </c>
      <c r="L5" s="38" t="s">
        <v>116</v>
      </c>
      <c r="O5" s="10"/>
    </row>
    <row r="6" spans="1:15" ht="52" thickBot="1" x14ac:dyDescent="0.25">
      <c r="A6" s="11"/>
      <c r="C6" s="10"/>
      <c r="J6" s="11"/>
      <c r="K6" s="1" t="s">
        <v>117</v>
      </c>
      <c r="L6" s="38" t="s">
        <v>118</v>
      </c>
      <c r="O6" s="10"/>
    </row>
    <row r="7" spans="1:15" ht="68" x14ac:dyDescent="0.2">
      <c r="A7" s="24"/>
      <c r="B7" s="8"/>
      <c r="C7" s="8"/>
      <c r="D7" s="8"/>
      <c r="E7" s="8"/>
      <c r="F7" s="8"/>
      <c r="G7" s="8"/>
      <c r="H7" s="8"/>
      <c r="I7" s="8"/>
      <c r="J7" s="11"/>
      <c r="K7" s="1" t="s">
        <v>119</v>
      </c>
      <c r="L7" s="38" t="s">
        <v>120</v>
      </c>
      <c r="O7" s="10"/>
    </row>
    <row r="8" spans="1:15" ht="136" x14ac:dyDescent="0.2">
      <c r="A8" s="11" t="s">
        <v>81</v>
      </c>
      <c r="B8" s="1" t="s">
        <v>82</v>
      </c>
      <c r="J8" s="11"/>
      <c r="K8" s="1" t="s">
        <v>121</v>
      </c>
      <c r="L8" s="38" t="s">
        <v>122</v>
      </c>
      <c r="O8" s="10"/>
    </row>
    <row r="9" spans="1:15" ht="17" thickBot="1" x14ac:dyDescent="0.25">
      <c r="A9" s="11">
        <v>60</v>
      </c>
      <c r="B9" s="1">
        <v>1</v>
      </c>
      <c r="J9" s="12"/>
      <c r="K9" s="13"/>
      <c r="L9" s="13"/>
      <c r="M9" s="13"/>
      <c r="N9" s="13"/>
      <c r="O9" s="14"/>
    </row>
    <row r="10" spans="1:15" x14ac:dyDescent="0.2">
      <c r="A10" s="11">
        <v>70</v>
      </c>
      <c r="B10" s="1">
        <v>1</v>
      </c>
      <c r="I10" s="10"/>
    </row>
    <row r="11" spans="1:15" x14ac:dyDescent="0.2">
      <c r="A11" s="11">
        <v>80</v>
      </c>
      <c r="B11" s="1">
        <v>2</v>
      </c>
      <c r="I11" s="10"/>
    </row>
    <row r="12" spans="1:15" x14ac:dyDescent="0.2">
      <c r="A12" s="11">
        <v>90</v>
      </c>
      <c r="B12" s="1">
        <v>2</v>
      </c>
      <c r="I12" s="10"/>
    </row>
    <row r="13" spans="1:15" x14ac:dyDescent="0.2">
      <c r="A13" s="11">
        <v>100</v>
      </c>
      <c r="B13" s="1">
        <v>2</v>
      </c>
      <c r="I13" s="10"/>
    </row>
    <row r="14" spans="1:15" x14ac:dyDescent="0.2">
      <c r="A14" s="11">
        <v>110</v>
      </c>
      <c r="B14" s="1">
        <v>2</v>
      </c>
      <c r="I14" s="10"/>
    </row>
    <row r="15" spans="1:15" x14ac:dyDescent="0.2">
      <c r="A15" s="11">
        <v>120</v>
      </c>
      <c r="B15" s="1">
        <v>2</v>
      </c>
      <c r="I15" s="10"/>
    </row>
    <row r="16" spans="1:15" x14ac:dyDescent="0.2">
      <c r="A16" s="11">
        <v>130</v>
      </c>
      <c r="B16" s="1">
        <v>2</v>
      </c>
      <c r="I16" s="10"/>
    </row>
    <row r="17" spans="1:9" x14ac:dyDescent="0.2">
      <c r="A17" s="11">
        <v>140</v>
      </c>
      <c r="B17" s="1">
        <v>2</v>
      </c>
      <c r="I17" s="10"/>
    </row>
    <row r="18" spans="1:9" x14ac:dyDescent="0.2">
      <c r="A18" s="11">
        <v>150</v>
      </c>
      <c r="B18" s="1">
        <v>2</v>
      </c>
      <c r="I18" s="10"/>
    </row>
    <row r="19" spans="1:9" x14ac:dyDescent="0.2">
      <c r="A19" s="11">
        <v>160</v>
      </c>
      <c r="B19" s="1">
        <v>3</v>
      </c>
      <c r="I19" s="10"/>
    </row>
    <row r="20" spans="1:9" x14ac:dyDescent="0.2">
      <c r="A20" s="11">
        <v>170</v>
      </c>
      <c r="B20" s="1">
        <v>3</v>
      </c>
      <c r="I20" s="10"/>
    </row>
    <row r="21" spans="1:9" x14ac:dyDescent="0.2">
      <c r="A21" s="11">
        <v>180</v>
      </c>
      <c r="B21" s="1">
        <v>3</v>
      </c>
      <c r="I21" s="10"/>
    </row>
    <row r="22" spans="1:9" x14ac:dyDescent="0.2">
      <c r="A22" s="11"/>
      <c r="I22" s="10"/>
    </row>
    <row r="23" spans="1:9" ht="17" thickBot="1" x14ac:dyDescent="0.25">
      <c r="A23" s="12"/>
      <c r="B23" s="13"/>
      <c r="C23" s="13"/>
      <c r="D23" s="13"/>
      <c r="E23" s="13"/>
      <c r="F23" s="13"/>
      <c r="G23" s="13"/>
      <c r="H23" s="13"/>
      <c r="I23" s="14"/>
    </row>
    <row r="24" spans="1:9" x14ac:dyDescent="0.2">
      <c r="A24" s="24"/>
      <c r="B24" s="8"/>
      <c r="C24" s="9"/>
      <c r="D24" s="24"/>
      <c r="E24" s="8"/>
      <c r="F24" s="8"/>
      <c r="G24" s="9"/>
    </row>
    <row r="25" spans="1:9" x14ac:dyDescent="0.2">
      <c r="A25" s="11" t="s">
        <v>19</v>
      </c>
      <c r="B25" s="1" t="s">
        <v>83</v>
      </c>
      <c r="C25" s="10"/>
      <c r="D25" s="11" t="s">
        <v>95</v>
      </c>
      <c r="E25" s="1" t="s">
        <v>96</v>
      </c>
      <c r="F25" s="1" t="s">
        <v>97</v>
      </c>
      <c r="G25" s="10"/>
    </row>
    <row r="26" spans="1:9" x14ac:dyDescent="0.2">
      <c r="A26" s="11" t="s">
        <v>84</v>
      </c>
      <c r="B26" s="1" t="s">
        <v>86</v>
      </c>
      <c r="C26" s="10"/>
      <c r="D26" s="11" t="s">
        <v>98</v>
      </c>
      <c r="E26" s="1" t="s">
        <v>42</v>
      </c>
      <c r="F26" s="1" t="s">
        <v>100</v>
      </c>
      <c r="G26" s="10"/>
    </row>
    <row r="27" spans="1:9" x14ac:dyDescent="0.2">
      <c r="A27" s="11" t="s">
        <v>85</v>
      </c>
      <c r="B27" s="1" t="s">
        <v>87</v>
      </c>
      <c r="C27" s="10"/>
      <c r="D27" s="11" t="s">
        <v>99</v>
      </c>
      <c r="E27" s="1" t="s">
        <v>34</v>
      </c>
      <c r="F27" s="1" t="s">
        <v>101</v>
      </c>
      <c r="G27" s="10"/>
    </row>
    <row r="28" spans="1:9" ht="17" thickBot="1" x14ac:dyDescent="0.25">
      <c r="A28" s="11" t="s">
        <v>91</v>
      </c>
      <c r="B28" s="1" t="s">
        <v>87</v>
      </c>
      <c r="C28" s="10"/>
      <c r="D28" s="11"/>
      <c r="G28" s="10"/>
    </row>
    <row r="29" spans="1:9" x14ac:dyDescent="0.2">
      <c r="A29" s="11" t="s">
        <v>92</v>
      </c>
      <c r="B29" s="1" t="s">
        <v>93</v>
      </c>
      <c r="D29" s="24"/>
      <c r="E29" s="8"/>
      <c r="F29" s="8"/>
      <c r="G29" s="8"/>
      <c r="H29" s="9"/>
    </row>
    <row r="30" spans="1:9" x14ac:dyDescent="0.2">
      <c r="A30" s="11" t="s">
        <v>88</v>
      </c>
      <c r="B30" s="1" t="s">
        <v>89</v>
      </c>
      <c r="D30" s="11" t="s">
        <v>102</v>
      </c>
      <c r="E30" s="1" t="s">
        <v>103</v>
      </c>
      <c r="F30" s="1" t="s">
        <v>104</v>
      </c>
      <c r="G30" s="1" t="s">
        <v>105</v>
      </c>
      <c r="H30" s="10"/>
    </row>
    <row r="31" spans="1:9" x14ac:dyDescent="0.2">
      <c r="A31" s="11" t="s">
        <v>90</v>
      </c>
      <c r="B31" s="1" t="s">
        <v>89</v>
      </c>
      <c r="D31" s="11">
        <v>0</v>
      </c>
      <c r="E31" s="1">
        <v>1.754</v>
      </c>
      <c r="F31" s="1">
        <v>200</v>
      </c>
      <c r="G31" s="1">
        <v>2500</v>
      </c>
      <c r="H31" s="10"/>
    </row>
    <row r="32" spans="1:9" x14ac:dyDescent="0.2">
      <c r="A32" s="11" t="s">
        <v>94</v>
      </c>
      <c r="B32" s="1" t="s">
        <v>89</v>
      </c>
      <c r="D32" s="11">
        <v>2.5</v>
      </c>
      <c r="E32" s="1">
        <v>1.778</v>
      </c>
      <c r="F32" s="1">
        <v>1250</v>
      </c>
      <c r="G32" s="1">
        <v>1960</v>
      </c>
      <c r="H32" s="10"/>
    </row>
    <row r="33" spans="1:8" ht="17" thickBot="1" x14ac:dyDescent="0.25">
      <c r="A33" s="12"/>
      <c r="B33" s="13"/>
      <c r="C33" s="13"/>
      <c r="D33" s="11">
        <v>5</v>
      </c>
      <c r="E33" s="1">
        <v>1.738</v>
      </c>
      <c r="F33" s="1">
        <v>1000</v>
      </c>
      <c r="G33" s="1">
        <v>2400</v>
      </c>
      <c r="H33" s="10"/>
    </row>
    <row r="34" spans="1:8" x14ac:dyDescent="0.2">
      <c r="D34" s="11">
        <v>7.5</v>
      </c>
      <c r="E34" s="1">
        <v>1.75</v>
      </c>
      <c r="F34" s="1">
        <v>750</v>
      </c>
      <c r="G34" s="1">
        <v>1900</v>
      </c>
      <c r="H34" s="10"/>
    </row>
    <row r="35" spans="1:8" x14ac:dyDescent="0.2">
      <c r="D35" s="11">
        <v>10</v>
      </c>
      <c r="E35" s="1">
        <v>1.754</v>
      </c>
      <c r="F35" s="1">
        <v>450</v>
      </c>
      <c r="G35" s="1">
        <v>1300</v>
      </c>
      <c r="H35" s="10"/>
    </row>
    <row r="36" spans="1:8" ht="17" thickBot="1" x14ac:dyDescent="0.25">
      <c r="D36" s="12"/>
      <c r="E36" s="13"/>
      <c r="F36" s="13"/>
      <c r="G36" s="13"/>
      <c r="H36" s="14"/>
    </row>
  </sheetData>
  <pageMargins left="0.7" right="0.7" top="0.75" bottom="0.75" header="0.3" footer="0.3"/>
  <pageSetup orientation="portrait" horizontalDpi="0" verticalDpi="0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0A0C45D55D81B409E1ED58F2E9DADA4" ma:contentTypeVersion="14" ma:contentTypeDescription="Create a new document." ma:contentTypeScope="" ma:versionID="cbded72ff34985fcf4aed41856a1fc63">
  <xsd:schema xmlns:xsd="http://www.w3.org/2001/XMLSchema" xmlns:xs="http://www.w3.org/2001/XMLSchema" xmlns:p="http://schemas.microsoft.com/office/2006/metadata/properties" xmlns:ns2="40c2d214-4ca5-4604-be72-e6c4439e5276" xmlns:ns3="581c75f3-c23e-4d61-ac2d-458e1df0a137" targetNamespace="http://schemas.microsoft.com/office/2006/metadata/properties" ma:root="true" ma:fieldsID="1df4a492fd975042fd478bddf68f177e" ns2:_="" ns3:_="">
    <xsd:import namespace="40c2d214-4ca5-4604-be72-e6c4439e5276"/>
    <xsd:import namespace="581c75f3-c23e-4d61-ac2d-458e1df0a13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OCR" minOccurs="0"/>
                <xsd:element ref="ns2:MediaServiceLocation" minOccurs="0"/>
                <xsd:element ref="ns2:MediaLengthInSecond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0c2d214-4ca5-4604-be72-e6c4439e527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7b434354-605c-4a24-9fd5-b21458dd13e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7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81c75f3-c23e-4d61-ac2d-458e1df0a137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ea31a38a-0dbb-4f8d-9a73-75948745707f}" ma:internalName="TaxCatchAll" ma:showField="CatchAllData" ma:web="581c75f3-c23e-4d61-ac2d-458e1df0a13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0c2d214-4ca5-4604-be72-e6c4439e5276">
      <Terms xmlns="http://schemas.microsoft.com/office/infopath/2007/PartnerControls"/>
    </lcf76f155ced4ddcb4097134ff3c332f>
    <TaxCatchAll xmlns="581c75f3-c23e-4d61-ac2d-458e1df0a137" xsi:nil="true"/>
  </documentManagement>
</p:properties>
</file>

<file path=customXml/itemProps1.xml><?xml version="1.0" encoding="utf-8"?>
<ds:datastoreItem xmlns:ds="http://schemas.openxmlformats.org/officeDocument/2006/customXml" ds:itemID="{77CBFA7D-3A0A-48A4-8B12-895234E5D6E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DC16A6F-6309-4CD1-8C9A-75436837431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0c2d214-4ca5-4604-be72-e6c4439e5276"/>
    <ds:schemaRef ds:uri="581c75f3-c23e-4d61-ac2d-458e1df0a13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F17E70AE-5CD9-46AD-9CD7-253B7D5337F5}">
  <ds:schemaRefs>
    <ds:schemaRef ds:uri="http://www.w3.org/XML/1998/namespace"/>
    <ds:schemaRef ds:uri="http://purl.org/dc/dcmitype/"/>
    <ds:schemaRef ds:uri="http://schemas.microsoft.com/office/infopath/2007/PartnerControls"/>
    <ds:schemaRef ds:uri="http://schemas.microsoft.com/office/2006/documentManagement/types"/>
    <ds:schemaRef ds:uri="http://purl.org/dc/elements/1.1/"/>
    <ds:schemaRef ds:uri="http://schemas.openxmlformats.org/package/2006/metadata/core-properties"/>
    <ds:schemaRef ds:uri="http://purl.org/dc/terms/"/>
    <ds:schemaRef ds:uri="581c75f3-c23e-4d61-ac2d-458e1df0a137"/>
    <ds:schemaRef ds:uri="40c2d214-4ca5-4604-be72-e6c4439e5276"/>
    <ds:schemaRef ds:uri="http://schemas.microsoft.com/office/2006/metadata/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Final Stats</vt:lpstr>
      <vt:lpstr>Introduction</vt:lpstr>
      <vt:lpstr>Literature Review</vt:lpstr>
      <vt:lpstr>Methodology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Einstein, Isaac</dc:creator>
  <cp:lastModifiedBy>Einstein, Isaac</cp:lastModifiedBy>
  <dcterms:created xsi:type="dcterms:W3CDTF">2025-10-24T04:30:15Z</dcterms:created>
  <dcterms:modified xsi:type="dcterms:W3CDTF">2025-11-21T16:31:43Z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0x01010020A0C45D55D81B409E1ED58F2E9DADA4</vt:lpwstr>
  </property>
  <property fmtid="{D5CDD505-2E9C-101B-9397-08002B2CF9AE}" pid="3" name="MediaServiceImageTags">
    <vt:lpwstr/>
  </property>
</Properties>
</file>