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.sharepoint.com/sites/Tumortrackingresearch/Shared Documents/General/Theses/Isaac/Master's Thesis/ohio-state-coe-dissertation-template/"/>
    </mc:Choice>
  </mc:AlternateContent>
  <xr:revisionPtr revIDLastSave="158" documentId="14_{BDDE5BD9-9B9B-1147-BD62-444B36ECC1DB}" xr6:coauthVersionLast="47" xr6:coauthVersionMax="47" xr10:uidLastSave="{25423FF1-6194-7F4F-9DDF-DBD1CEF6BAE5}"/>
  <bookViews>
    <workbookView xWindow="980" yWindow="500" windowWidth="34860" windowHeight="21900" activeTab="2" xr2:uid="{16E6A821-3DC4-194B-96AE-E7BDD0CEA9F6}"/>
  </bookViews>
  <sheets>
    <sheet name="Introduction" sheetId="2" r:id="rId1"/>
    <sheet name="Literature Review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<sst xmlns="http://schemas.openxmlformats.org/spreadsheetml/2006/main" count="109" uniqueCount="102">
  <si>
    <t>Seroma Visibility (RefID 25)</t>
  </si>
  <si>
    <t>Highly Visible</t>
  </si>
  <si>
    <t>Visible</t>
  </si>
  <si>
    <t>Subtle</t>
  </si>
  <si>
    <t>Not Visible</t>
  </si>
  <si>
    <t>Team/Researcher</t>
  </si>
  <si>
    <t>General Contribution(s)</t>
  </si>
  <si>
    <t>Time Working on Project</t>
  </si>
  <si>
    <t>Senior Capstone Group</t>
  </si>
  <si>
    <t>- Identified initial pain points and opportunity
- Evaluated various end-product concepts
- Selected ideal form factor and developed initial device prototype</t>
  </si>
  <si>
    <t>2022</t>
  </si>
  <si>
    <t>Adrian Bakhtar</t>
  </si>
  <si>
    <t>- Continued work started by senior capstone team
- Worked with stakeholders to refine device design
- Optimized device geometry, printability, and adhesive capabilities
- Defended master's thesis and is continuing research through a PhD</t>
  </si>
  <si>
    <t>2022 – Present</t>
  </si>
  <si>
    <t>Zuhaib Jama</t>
  </si>
  <si>
    <t>- Evaluated potential stresses experienced by the device via FEM
- Presented findings at research poster symposium</t>
  </si>
  <si>
    <t>Isaac Einstein</t>
  </si>
  <si>
    <t>- Evaluated material properties of device base material
- Presented findings through a research poster symposium and undergraduate thesis</t>
  </si>
  <si>
    <t>2023 - 2024</t>
  </si>
  <si>
    <t>Material</t>
  </si>
  <si>
    <t>Extrusion Temperature (ºC)</t>
  </si>
  <si>
    <t>Bed Temperature (ºC)</t>
  </si>
  <si>
    <t>Glass Transition Temperature (ºC)</t>
  </si>
  <si>
    <t>160 – 230</t>
  </si>
  <si>
    <t>20 – 60</t>
  </si>
  <si>
    <t>60 – 65</t>
  </si>
  <si>
    <t>115 – 145</t>
  </si>
  <si>
    <t>PCL (RefID 418)</t>
  </si>
  <si>
    <t>PLA (RefID 307)</t>
  </si>
  <si>
    <t>30 – 45</t>
  </si>
  <si>
    <t>35 – 40</t>
  </si>
  <si>
    <t>PLCL (RefID 18, 204)</t>
  </si>
  <si>
    <t>180 – 230</t>
  </si>
  <si>
    <t>18 – 30</t>
  </si>
  <si>
    <t>PCL</t>
  </si>
  <si>
    <t>Tensile Modulus (Et)</t>
  </si>
  <si>
    <t>Compressive Modulus (Ecomp)</t>
  </si>
  <si>
    <t>Tensile Yield Strength</t>
  </si>
  <si>
    <t>440 ± 3 Mpa (ID46)
417 ± 25 Mpa (ID133)</t>
  </si>
  <si>
    <t>455 ± 2 Mpa (ID46)</t>
  </si>
  <si>
    <t>414 ± 10 Mpa (ID46)</t>
  </si>
  <si>
    <t>17.82 ± 0.47 Mpa (ID46)
14.7 ± 1.3 MPa (ID133)</t>
  </si>
  <si>
    <t>PLA</t>
  </si>
  <si>
    <t>PLCL (70/30)</t>
  </si>
  <si>
    <t>12 ± 1.2 Mpa (Secant Modulus at 0.2% strain) (ID31)</t>
  </si>
  <si>
    <t>17.2 ± 0.7 MPa (ID31)
16.1 ± 3.2 Mpa (ID19)</t>
  </si>
  <si>
    <t>55.9 ± 6.5 (ID133)
50 Mpa (ID434)</t>
  </si>
  <si>
    <t>Flexural Modulus (Eflex)</t>
  </si>
  <si>
    <t>3800 Mpa (ID343)</t>
  </si>
  <si>
    <t>3015 ± 86 Mpa (ID133)
3600 Mpa (ID343)</t>
  </si>
  <si>
    <t>Strength</t>
  </si>
  <si>
    <t>Ability of a material to resist externally applied forces without breaking or yielding</t>
  </si>
  <si>
    <t>Stiffness</t>
  </si>
  <si>
    <t>Ability of a material to resist deformation under stress</t>
  </si>
  <si>
    <t>Elasticity</t>
  </si>
  <si>
    <t>Ability of a material to regain its orginial shape after deformation</t>
  </si>
  <si>
    <t>Plasticity</t>
  </si>
  <si>
    <t>Ability of a material to undergo some degree of permanent deformation without failure</t>
  </si>
  <si>
    <t>Brittleness</t>
  </si>
  <si>
    <t>Ability of a material to fracture or break with minimal elongation</t>
  </si>
  <si>
    <t>Term</t>
  </si>
  <si>
    <t>Definition</t>
  </si>
  <si>
    <t>Standard</t>
  </si>
  <si>
    <t>Title</t>
  </si>
  <si>
    <t>ASTM D5947-24</t>
  </si>
  <si>
    <t>Standard Test Methods for Physical Dimensions of Solid Plastics Specimens</t>
  </si>
  <si>
    <t>RefID</t>
  </si>
  <si>
    <t>ASTM F640-20</t>
  </si>
  <si>
    <t>Standard Test Methods for Determining Radiopacity for Medical Use</t>
  </si>
  <si>
    <t>ASTM D1238-23a</t>
  </si>
  <si>
    <t>Standard Test Metod for Melt Flow Rates of Thermopastics by Extrusion Plastometer</t>
  </si>
  <si>
    <t>ASTM D790-17</t>
  </si>
  <si>
    <t>Standard Test Methods for Flexural Properties of Unreinforced and Reinforced Plastics and Electrical Insulation Materials</t>
  </si>
  <si>
    <t>ASTM D638-14</t>
  </si>
  <si>
    <t>Standard Test Method for Tensile Properties of Plastics</t>
  </si>
  <si>
    <t>Heater</t>
  </si>
  <si>
    <t>Temperature (˚C)</t>
  </si>
  <si>
    <t>H4</t>
  </si>
  <si>
    <t>H3</t>
  </si>
  <si>
    <t>H2</t>
  </si>
  <si>
    <t>H1</t>
  </si>
  <si>
    <t>Temperature</t>
  </si>
  <si>
    <t>Extrudability</t>
  </si>
  <si>
    <t>Sourcing</t>
  </si>
  <si>
    <t>Device Body</t>
  </si>
  <si>
    <t>Ball Bearings</t>
  </si>
  <si>
    <t>3D Printed (PLA)</t>
  </si>
  <si>
    <t>Labs or 3D Printed (PLA)</t>
  </si>
  <si>
    <t>Ring Stand</t>
  </si>
  <si>
    <t>Labs</t>
  </si>
  <si>
    <t>Stepper Motor</t>
  </si>
  <si>
    <t>Gearbox</t>
  </si>
  <si>
    <t>Drive Belt</t>
  </si>
  <si>
    <t>3D Printed (TPU)</t>
  </si>
  <si>
    <t>UI Components</t>
  </si>
  <si>
    <t>Purging Compound</t>
  </si>
  <si>
    <t>Ideal Material</t>
  </si>
  <si>
    <t>Requires HDPE</t>
  </si>
  <si>
    <t>DP-D2</t>
  </si>
  <si>
    <t>DP-L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</si>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</sst>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7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2" fillId="0" borderId="0" xfId="0" applyFont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19" xfId="0" applyFill="1" applyBorder="1"/>
    <xf numFmtId="0" fontId="1" fillId="3" borderId="1" xfId="0" applyFont="1" applyFill="1" applyBorder="1"/>
    <xf numFmtId="0" fontId="1" fillId="3" borderId="18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3" borderId="17" xfId="0" applyFill="1" applyBorder="1" applyAlignment="1">
      <alignment vertical="center"/>
    </xf>
    <xf numFmtId="0" fontId="0" fillId="3" borderId="17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Seroma Visibility Across</a:t>
            </a:r>
            <a:r>
              <a:rPr lang="en-US" baseline="0"/>
              <a:t> 30 Patients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3-A94F-BA83-155C979313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3-A94F-BA83-155C979313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9F3-A94F-BA83-155C979313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3-A94F-BA83-155C97931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'Literature Review'!$A$2:$A$5</c:f>
              <c:strCache>
                <c:ptCount val="4"/>
                <c:pt idx="0">
                  <c:v>Highly Visible</c:v>
                </c:pt>
                <c:pt idx="1">
                  <c:v>Visible</c:v>
                </c:pt>
                <c:pt idx="2">
                  <c:v>Subtle</c:v>
                </c:pt>
                <c:pt idx="3">
                  <c:v>Not Visible</c:v>
                </c:pt>
              </c:strCache>
            </c:strRef>
          </c:cat>
          <c:val>
            <c:numRef>
              <c:f>'Literature Review'!$B$2:$B$5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3-A94F-BA83-155C97931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2970144"/>
        <c:axId val="2142998880"/>
      </c:barChart>
      <c:catAx>
        <c:axId val="214297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98880"/>
        <c:crosses val="autoZero"/>
        <c:auto val="1"/>
        <c:lblAlgn val="ctr"/>
        <c:lblOffset val="100"/>
        <c:noMultiLvlLbl val="0"/>
      </c:catAx>
      <c:valAx>
        <c:axId val="21429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7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Extrudability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Sheet1!$A$9:$A$21</c:f>
              <c:numCache>
                <c:formatCode>General</c:formatCode>
                <c:ptCount val="13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</c:numCache>
            </c:numRef>
          </c:xVal>
          <c:yVal>
            <c:numRef>
              <c:f>Sheet1!$B$9:$B$21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7-7A48-9243-1F3FB88B6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48336"/>
        <c:axId val="766442656"/>
      </c:scatterChart>
      <c:valAx>
        <c:axId val="50434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42656"/>
        <c:crosses val="autoZero"/>
        <c:crossBetween val="midCat"/>
      </c:valAx>
      <c:valAx>
        <c:axId val="7664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4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353105</xdr:colOff>
      <xdr:row>0</xdr:row>
      <xdr:rowOff>0</xdr:rowOff>
    </xdr:from>
    <xdr:to>
      <xdr:col>6</xdr:col>
      <xdr:colOff>491850</xdr:colOff>
      <xdr:row>9</xdr:row>
      <xdr:rowOff>191895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C9979-958C-7329-5F10-BC836EFE4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7</xdr:row>
      <xdr:rowOff>38100</xdr:rowOff>
    </xdr:from>
    <xdr:to>
      <xdr:col>8</xdr:col>
      <xdr:colOff>279400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D9F43-CC4F-0346-67E1-B1A3E79EB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16C1-5646-664A-92BE-4FE78C39E120}">
  <dimension ref="A1:D6"/>
  <sheetViews>
    <sheetView zoomScale="173" workbookViewId="0">
      <selection activeCell="A2" sqref="A2"/>
    </sheetView>
  </sheetViews>
  <sheetFormatPr baseColWidth="10" defaultRowHeight="16" x14ac:dyDescent="0.2"/>
  <cols>
    <col min="1" max="1" width="12" style="1" bestFit="1" customWidth="1"/>
    <col min="2" max="2" width="18.6640625" style="1" bestFit="1" customWidth="1"/>
    <col min="3" max="3" width="12.1640625" style="1" bestFit="1" customWidth="1"/>
    <col min="4" max="4" width="2.83203125" style="1" customWidth="1"/>
    <col min="5" max="16384" width="10.83203125" style="1"/>
  </cols>
  <sheetData>
    <row r="1" spans="1:4" x14ac:dyDescent="0.2">
      <c r="A1" s="16" t="s">
        <v>5</v>
      </c>
      <c r="B1" s="17" t="s">
        <v>6</v>
      </c>
      <c r="C1" s="18" t="s">
        <v>7</v>
      </c>
      <c r="D1" s="9"/>
    </row>
    <row r="2" spans="1:4" ht="67" x14ac:dyDescent="0.2">
      <c r="A2" s="19" t="s">
        <v>8</v>
      </c>
      <c r="B2" s="15" t="s">
        <v>9</v>
      </c>
      <c r="C2" s="20" t="s">
        <v>10</v>
      </c>
      <c r="D2" s="10"/>
    </row>
    <row r="3" spans="1:4" ht="89" x14ac:dyDescent="0.2">
      <c r="A3" s="19" t="s">
        <v>11</v>
      </c>
      <c r="B3" s="15" t="s">
        <v>12</v>
      </c>
      <c r="C3" s="20" t="s">
        <v>13</v>
      </c>
      <c r="D3" s="10"/>
    </row>
    <row r="4" spans="1:4" ht="45" x14ac:dyDescent="0.2">
      <c r="A4" s="19" t="s">
        <v>14</v>
      </c>
      <c r="B4" s="15" t="s">
        <v>15</v>
      </c>
      <c r="C4" s="20">
        <v>2024</v>
      </c>
      <c r="D4" s="10"/>
    </row>
    <row r="5" spans="1:4" ht="57" thickBot="1" x14ac:dyDescent="0.25">
      <c r="A5" s="21" t="s">
        <v>16</v>
      </c>
      <c r="B5" s="22" t="s">
        <v>17</v>
      </c>
      <c r="C5" s="23" t="s">
        <v>18</v>
      </c>
      <c r="D5" s="10"/>
    </row>
    <row r="6" spans="1:4" ht="17" thickBot="1" x14ac:dyDescent="0.25">
      <c r="A6" s="12"/>
      <c r="B6" s="13"/>
      <c r="C6" s="13"/>
      <c r="D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9E8A-4B25-1B41-82F3-06803E42F3DE}">
  <dimension ref="A1:L24"/>
  <sheetViews>
    <sheetView topLeftCell="E1" zoomScale="173" workbookViewId="0">
      <selection activeCell="H19" sqref="H19:J23"/>
    </sheetView>
  </sheetViews>
  <sheetFormatPr baseColWidth="10" defaultRowHeight="16" x14ac:dyDescent="0.2"/>
  <cols>
    <col min="1" max="1" width="18.33203125" style="1" bestFit="1" customWidth="1"/>
    <col min="2" max="2" width="43.33203125" style="1" bestFit="1" customWidth="1"/>
    <col min="3" max="3" width="26.33203125" style="1" bestFit="1" customWidth="1"/>
    <col min="4" max="4" width="29.6640625" style="1" bestFit="1" customWidth="1"/>
    <col min="5" max="5" width="18.5" style="1" bestFit="1" customWidth="1"/>
    <col min="6" max="9" width="10.83203125" style="1"/>
    <col min="10" max="10" width="10" style="1" bestFit="1" customWidth="1"/>
    <col min="11" max="11" width="70.83203125" style="1" bestFit="1" customWidth="1"/>
    <col min="12" max="16384" width="10.83203125" style="1"/>
  </cols>
  <sheetData>
    <row r="1" spans="1:12" ht="17" thickBot="1" x14ac:dyDescent="0.25">
      <c r="A1" s="37" t="s">
        <v>0</v>
      </c>
      <c r="B1" s="38"/>
      <c r="C1" s="8"/>
      <c r="D1" s="8"/>
      <c r="E1" s="8"/>
      <c r="F1" s="8"/>
      <c r="G1" s="8"/>
      <c r="H1" s="9"/>
      <c r="I1" s="8"/>
      <c r="J1" s="35" t="s">
        <v>60</v>
      </c>
      <c r="K1" s="36" t="s">
        <v>61</v>
      </c>
      <c r="L1" s="9"/>
    </row>
    <row r="2" spans="1:12" x14ac:dyDescent="0.2">
      <c r="A2" s="2" t="s">
        <v>1</v>
      </c>
      <c r="B2" s="3">
        <v>8</v>
      </c>
      <c r="H2" s="10"/>
      <c r="J2" s="4" t="s">
        <v>50</v>
      </c>
      <c r="K2" s="5" t="s">
        <v>51</v>
      </c>
      <c r="L2" s="10"/>
    </row>
    <row r="3" spans="1:12" x14ac:dyDescent="0.2">
      <c r="A3" s="4" t="s">
        <v>2</v>
      </c>
      <c r="B3" s="5">
        <v>10</v>
      </c>
      <c r="H3" s="10"/>
      <c r="J3" s="4" t="s">
        <v>52</v>
      </c>
      <c r="K3" s="5" t="s">
        <v>53</v>
      </c>
      <c r="L3" s="10"/>
    </row>
    <row r="4" spans="1:12" x14ac:dyDescent="0.2">
      <c r="A4" s="4" t="s">
        <v>3</v>
      </c>
      <c r="B4" s="5">
        <v>6</v>
      </c>
      <c r="H4" s="10"/>
      <c r="J4" s="4" t="s">
        <v>54</v>
      </c>
      <c r="K4" s="5" t="s">
        <v>55</v>
      </c>
      <c r="L4" s="10"/>
    </row>
    <row r="5" spans="1:12" ht="17" thickBot="1" x14ac:dyDescent="0.25">
      <c r="A5" s="6" t="s">
        <v>4</v>
      </c>
      <c r="B5" s="7">
        <v>6</v>
      </c>
      <c r="H5" s="10"/>
      <c r="J5" s="4" t="s">
        <v>56</v>
      </c>
      <c r="K5" s="5" t="s">
        <v>57</v>
      </c>
      <c r="L5" s="10"/>
    </row>
    <row r="6" spans="1:12" ht="17" thickBot="1" x14ac:dyDescent="0.25">
      <c r="A6" s="11"/>
      <c r="H6" s="10"/>
      <c r="J6" s="6" t="s">
        <v>58</v>
      </c>
      <c r="K6" s="7" t="s">
        <v>59</v>
      </c>
      <c r="L6" s="10"/>
    </row>
    <row r="7" spans="1:12" x14ac:dyDescent="0.2">
      <c r="A7" s="11"/>
      <c r="H7" s="10"/>
      <c r="L7" s="10"/>
    </row>
    <row r="8" spans="1:12" ht="17" thickBot="1" x14ac:dyDescent="0.25">
      <c r="A8" s="11"/>
      <c r="H8" s="10"/>
      <c r="L8" s="10"/>
    </row>
    <row r="9" spans="1:12" x14ac:dyDescent="0.2">
      <c r="A9" s="11"/>
      <c r="H9" s="10"/>
      <c r="I9" s="8"/>
      <c r="J9" s="8"/>
      <c r="K9" s="8"/>
      <c r="L9" s="9"/>
    </row>
    <row r="10" spans="1:12" x14ac:dyDescent="0.2">
      <c r="A10" s="11"/>
      <c r="H10" s="10"/>
      <c r="L10" s="10"/>
    </row>
    <row r="11" spans="1:12" ht="17" thickBot="1" x14ac:dyDescent="0.25">
      <c r="A11" s="12"/>
      <c r="B11" s="13"/>
      <c r="C11" s="13"/>
      <c r="D11" s="13"/>
      <c r="E11" s="13"/>
      <c r="F11" s="13"/>
      <c r="G11" s="13"/>
      <c r="H11" s="14"/>
      <c r="J11" s="1" t="s">
        <v>62</v>
      </c>
      <c r="K11" s="1" t="s">
        <v>63</v>
      </c>
      <c r="L11" s="10" t="s">
        <v>66</v>
      </c>
    </row>
    <row r="12" spans="1:12" ht="17" thickBot="1" x14ac:dyDescent="0.25">
      <c r="A12" s="11"/>
      <c r="E12" s="10"/>
      <c r="G12" s="11"/>
      <c r="J12" s="1" t="s">
        <v>64</v>
      </c>
      <c r="K12" s="1" t="s">
        <v>65</v>
      </c>
      <c r="L12" s="10">
        <v>388</v>
      </c>
    </row>
    <row r="13" spans="1:12" x14ac:dyDescent="0.2">
      <c r="A13" s="27" t="s">
        <v>19</v>
      </c>
      <c r="B13" s="28" t="s">
        <v>20</v>
      </c>
      <c r="C13" s="28" t="s">
        <v>21</v>
      </c>
      <c r="D13" s="29" t="s">
        <v>22</v>
      </c>
      <c r="E13" s="10"/>
      <c r="G13" s="11"/>
      <c r="J13" s="1" t="s">
        <v>67</v>
      </c>
      <c r="K13" s="1" t="s">
        <v>68</v>
      </c>
      <c r="L13" s="10">
        <v>342</v>
      </c>
    </row>
    <row r="14" spans="1:12" x14ac:dyDescent="0.2">
      <c r="A14" s="30" t="s">
        <v>28</v>
      </c>
      <c r="B14" s="25" t="s">
        <v>23</v>
      </c>
      <c r="C14" s="25" t="s">
        <v>24</v>
      </c>
      <c r="D14" s="5" t="s">
        <v>25</v>
      </c>
      <c r="E14" s="10"/>
      <c r="G14" s="11"/>
      <c r="J14" s="1" t="s">
        <v>69</v>
      </c>
      <c r="K14" s="1" t="s">
        <v>70</v>
      </c>
      <c r="L14" s="10">
        <v>55</v>
      </c>
    </row>
    <row r="15" spans="1:12" x14ac:dyDescent="0.2">
      <c r="A15" s="30" t="s">
        <v>27</v>
      </c>
      <c r="B15" s="25" t="s">
        <v>26</v>
      </c>
      <c r="C15" s="25" t="s">
        <v>29</v>
      </c>
      <c r="D15" s="5">
        <v>-60</v>
      </c>
      <c r="E15" s="10"/>
      <c r="G15" s="11"/>
      <c r="J15" s="1" t="s">
        <v>71</v>
      </c>
      <c r="K15" s="1" t="s">
        <v>72</v>
      </c>
      <c r="L15" s="10">
        <v>5</v>
      </c>
    </row>
    <row r="16" spans="1:12" ht="17" thickBot="1" x14ac:dyDescent="0.25">
      <c r="A16" s="31" t="s">
        <v>31</v>
      </c>
      <c r="B16" s="26" t="s">
        <v>32</v>
      </c>
      <c r="C16" s="26" t="s">
        <v>33</v>
      </c>
      <c r="D16" s="7" t="s">
        <v>30</v>
      </c>
      <c r="E16" s="10"/>
      <c r="G16" s="11"/>
      <c r="J16" s="1" t="s">
        <v>73</v>
      </c>
      <c r="K16" s="1" t="s">
        <v>74</v>
      </c>
      <c r="L16" s="10">
        <v>4</v>
      </c>
    </row>
    <row r="17" spans="1:12" ht="17" thickBot="1" x14ac:dyDescent="0.25">
      <c r="A17" s="12"/>
      <c r="B17" s="13"/>
      <c r="C17" s="13"/>
      <c r="D17" s="13"/>
      <c r="E17" s="14"/>
      <c r="G17" s="12"/>
      <c r="H17" s="13"/>
      <c r="I17" s="13"/>
      <c r="J17" s="13"/>
      <c r="K17" s="13"/>
      <c r="L17" s="14"/>
    </row>
    <row r="18" spans="1:12" x14ac:dyDescent="0.2">
      <c r="A18" s="11"/>
      <c r="F18" s="10"/>
      <c r="G18" s="24"/>
      <c r="H18" s="8"/>
      <c r="I18" s="8"/>
      <c r="J18" s="9"/>
    </row>
    <row r="19" spans="1:12" x14ac:dyDescent="0.2">
      <c r="A19" s="34" t="s">
        <v>19</v>
      </c>
      <c r="B19" s="32" t="s">
        <v>35</v>
      </c>
      <c r="C19" s="32" t="s">
        <v>36</v>
      </c>
      <c r="D19" s="32" t="s">
        <v>47</v>
      </c>
      <c r="E19" s="32" t="s">
        <v>37</v>
      </c>
      <c r="F19" s="10"/>
      <c r="G19" s="11"/>
    </row>
    <row r="20" spans="1:12" ht="68" x14ac:dyDescent="0.2">
      <c r="A20" s="34" t="s">
        <v>34</v>
      </c>
      <c r="B20" s="33" t="s">
        <v>38</v>
      </c>
      <c r="C20" s="32" t="s">
        <v>39</v>
      </c>
      <c r="D20" s="32" t="s">
        <v>40</v>
      </c>
      <c r="E20" s="33" t="s">
        <v>41</v>
      </c>
      <c r="F20" s="10"/>
      <c r="G20" s="11"/>
    </row>
    <row r="21" spans="1:12" ht="34" x14ac:dyDescent="0.2">
      <c r="A21" s="34" t="s">
        <v>42</v>
      </c>
      <c r="B21" s="33" t="s">
        <v>49</v>
      </c>
      <c r="C21" s="32"/>
      <c r="D21" s="32" t="s">
        <v>48</v>
      </c>
      <c r="E21" s="33" t="s">
        <v>46</v>
      </c>
      <c r="F21" s="10"/>
      <c r="G21" s="11"/>
    </row>
    <row r="22" spans="1:12" ht="34" x14ac:dyDescent="0.2">
      <c r="A22" s="34" t="s">
        <v>43</v>
      </c>
      <c r="B22" s="32" t="s">
        <v>44</v>
      </c>
      <c r="C22" s="32"/>
      <c r="D22" s="32"/>
      <c r="E22" s="33" t="s">
        <v>45</v>
      </c>
      <c r="F22" s="10"/>
      <c r="G22" s="11"/>
    </row>
    <row r="23" spans="1:12" x14ac:dyDescent="0.2">
      <c r="A23" s="11"/>
      <c r="F23" s="10"/>
      <c r="G23" s="11"/>
    </row>
    <row r="24" spans="1:12" ht="17" thickBot="1" x14ac:dyDescent="0.25">
      <c r="A24" s="12"/>
      <c r="B24" s="13"/>
      <c r="C24" s="13"/>
      <c r="D24" s="13"/>
      <c r="E24" s="13"/>
      <c r="F24" s="14"/>
      <c r="G24" s="12"/>
      <c r="H24" s="13"/>
      <c r="I24" s="13"/>
      <c r="J24" s="14"/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BA31-1A52-274A-92D6-B57235D8D2B5}">
  <dimension ref="A1:I33"/>
  <sheetViews>
    <sheetView tabSelected="1" topLeftCell="A16" zoomScale="238" workbookViewId="0">
      <selection activeCell="D25" sqref="D25:F27"/>
    </sheetView>
  </sheetViews>
  <sheetFormatPr baseColWidth="10" defaultRowHeight="16" x14ac:dyDescent="0.2"/>
  <cols>
    <col min="1" max="1" width="13.6640625" style="1" bestFit="1" customWidth="1"/>
    <col min="2" max="2" width="20.33203125" style="1" bestFit="1" customWidth="1"/>
    <col min="3" max="16384" width="10.83203125" style="1"/>
  </cols>
  <sheetData>
    <row r="1" spans="1:9" x14ac:dyDescent="0.2">
      <c r="A1" s="24" t="s">
        <v>75</v>
      </c>
      <c r="B1" s="8" t="s">
        <v>76</v>
      </c>
      <c r="C1" s="9"/>
    </row>
    <row r="2" spans="1:9" x14ac:dyDescent="0.2">
      <c r="A2" s="11" t="s">
        <v>77</v>
      </c>
      <c r="B2" s="1">
        <v>140</v>
      </c>
      <c r="C2" s="10"/>
    </row>
    <row r="3" spans="1:9" x14ac:dyDescent="0.2">
      <c r="A3" s="11" t="s">
        <v>78</v>
      </c>
      <c r="B3" s="1">
        <v>155</v>
      </c>
      <c r="C3" s="10"/>
    </row>
    <row r="4" spans="1:9" x14ac:dyDescent="0.2">
      <c r="A4" s="11" t="s">
        <v>79</v>
      </c>
      <c r="B4" s="1">
        <v>160</v>
      </c>
      <c r="C4" s="10"/>
    </row>
    <row r="5" spans="1:9" x14ac:dyDescent="0.2">
      <c r="A5" s="11" t="s">
        <v>80</v>
      </c>
      <c r="B5" s="1">
        <v>160</v>
      </c>
      <c r="C5" s="10"/>
    </row>
    <row r="6" spans="1:9" ht="17" thickBot="1" x14ac:dyDescent="0.25">
      <c r="A6" s="11"/>
      <c r="C6" s="10"/>
    </row>
    <row r="7" spans="1:9" x14ac:dyDescent="0.2">
      <c r="A7" s="24"/>
      <c r="B7" s="8"/>
      <c r="C7" s="8"/>
      <c r="D7" s="8"/>
      <c r="E7" s="8"/>
      <c r="F7" s="8"/>
      <c r="G7" s="8"/>
      <c r="H7" s="8"/>
      <c r="I7" s="9"/>
    </row>
    <row r="8" spans="1:9" x14ac:dyDescent="0.2">
      <c r="A8" s="11" t="s">
        <v>81</v>
      </c>
      <c r="B8" s="1" t="s">
        <v>82</v>
      </c>
      <c r="I8" s="10"/>
    </row>
    <row r="9" spans="1:9" x14ac:dyDescent="0.2">
      <c r="A9" s="11">
        <v>60</v>
      </c>
      <c r="B9" s="1">
        <v>1</v>
      </c>
      <c r="I9" s="10"/>
    </row>
    <row r="10" spans="1:9" x14ac:dyDescent="0.2">
      <c r="A10" s="11">
        <v>70</v>
      </c>
      <c r="B10" s="1">
        <v>1</v>
      </c>
      <c r="I10" s="10"/>
    </row>
    <row r="11" spans="1:9" x14ac:dyDescent="0.2">
      <c r="A11" s="11">
        <v>80</v>
      </c>
      <c r="B11" s="1">
        <v>2</v>
      </c>
      <c r="I11" s="10"/>
    </row>
    <row r="12" spans="1:9" x14ac:dyDescent="0.2">
      <c r="A12" s="11">
        <v>90</v>
      </c>
      <c r="B12" s="1">
        <v>2</v>
      </c>
      <c r="I12" s="10"/>
    </row>
    <row r="13" spans="1:9" x14ac:dyDescent="0.2">
      <c r="A13" s="11">
        <v>100</v>
      </c>
      <c r="B13" s="1">
        <v>2</v>
      </c>
      <c r="I13" s="10"/>
    </row>
    <row r="14" spans="1:9" x14ac:dyDescent="0.2">
      <c r="A14" s="11">
        <v>110</v>
      </c>
      <c r="B14" s="1">
        <v>2</v>
      </c>
      <c r="I14" s="10"/>
    </row>
    <row r="15" spans="1:9" x14ac:dyDescent="0.2">
      <c r="A15" s="11">
        <v>120</v>
      </c>
      <c r="B15" s="1">
        <v>2</v>
      </c>
      <c r="I15" s="10"/>
    </row>
    <row r="16" spans="1:9" x14ac:dyDescent="0.2">
      <c r="A16" s="11">
        <v>130</v>
      </c>
      <c r="B16" s="1">
        <v>2</v>
      </c>
      <c r="I16" s="10"/>
    </row>
    <row r="17" spans="1:9" x14ac:dyDescent="0.2">
      <c r="A17" s="11">
        <v>140</v>
      </c>
      <c r="B17" s="1">
        <v>2</v>
      </c>
      <c r="I17" s="10"/>
    </row>
    <row r="18" spans="1:9" x14ac:dyDescent="0.2">
      <c r="A18" s="11">
        <v>150</v>
      </c>
      <c r="B18" s="1">
        <v>2</v>
      </c>
      <c r="I18" s="10"/>
    </row>
    <row r="19" spans="1:9" x14ac:dyDescent="0.2">
      <c r="A19" s="11">
        <v>160</v>
      </c>
      <c r="B19" s="1">
        <v>3</v>
      </c>
      <c r="I19" s="10"/>
    </row>
    <row r="20" spans="1:9" x14ac:dyDescent="0.2">
      <c r="A20" s="11">
        <v>170</v>
      </c>
      <c r="B20" s="1">
        <v>3</v>
      </c>
      <c r="I20" s="10"/>
    </row>
    <row r="21" spans="1:9" x14ac:dyDescent="0.2">
      <c r="A21" s="11">
        <v>180</v>
      </c>
      <c r="B21" s="1">
        <v>3</v>
      </c>
      <c r="I21" s="10"/>
    </row>
    <row r="22" spans="1:9" x14ac:dyDescent="0.2">
      <c r="A22" s="11"/>
      <c r="I22" s="10"/>
    </row>
    <row r="23" spans="1:9" ht="17" thickBot="1" x14ac:dyDescent="0.25">
      <c r="A23" s="12"/>
      <c r="B23" s="13"/>
      <c r="C23" s="13"/>
      <c r="D23" s="13"/>
      <c r="E23" s="13"/>
      <c r="F23" s="13"/>
      <c r="G23" s="13"/>
      <c r="H23" s="13"/>
      <c r="I23" s="14"/>
    </row>
    <row r="24" spans="1:9" x14ac:dyDescent="0.2">
      <c r="A24" s="24"/>
      <c r="B24" s="8"/>
      <c r="C24" s="9"/>
      <c r="D24" s="24"/>
      <c r="E24" s="8"/>
      <c r="F24" s="8"/>
      <c r="G24" s="9"/>
    </row>
    <row r="25" spans="1:9" x14ac:dyDescent="0.2">
      <c r="A25" s="11" t="s">
        <v>19</v>
      </c>
      <c r="B25" s="1" t="s">
        <v>83</v>
      </c>
      <c r="C25" s="10"/>
      <c r="D25" s="11" t="s">
        <v>95</v>
      </c>
      <c r="E25" s="39" t="s">
        <v>96</v>
      </c>
      <c r="F25" s="39" t="s">
        <v>97</v>
      </c>
      <c r="G25" s="10"/>
    </row>
    <row r="26" spans="1:9" x14ac:dyDescent="0.2">
      <c r="A26" s="11" t="s">
        <v>84</v>
      </c>
      <c r="B26" s="1" t="s">
        <v>86</v>
      </c>
      <c r="C26" s="10"/>
      <c r="D26" s="11" t="s">
        <v>98</v>
      </c>
      <c r="E26" s="39" t="s">
        <v>42</v>
      </c>
      <c r="F26" s="39" t="s">
        <v>100</v>
      </c>
      <c r="G26" s="10"/>
    </row>
    <row r="27" spans="1:9" x14ac:dyDescent="0.2">
      <c r="A27" s="11" t="s">
        <v>85</v>
      </c>
      <c r="B27" s="1" t="s">
        <v>87</v>
      </c>
      <c r="C27" s="10"/>
      <c r="D27" s="11" t="s">
        <v>99</v>
      </c>
      <c r="E27" s="39" t="s">
        <v>34</v>
      </c>
      <c r="F27" s="39" t="s">
        <v>101</v>
      </c>
      <c r="G27" s="10"/>
    </row>
    <row r="28" spans="1:9" ht="17" thickBot="1" x14ac:dyDescent="0.25">
      <c r="A28" s="11" t="s">
        <v>91</v>
      </c>
      <c r="B28" s="1" t="s">
        <v>87</v>
      </c>
      <c r="C28" s="10"/>
      <c r="D28" s="12"/>
      <c r="E28" s="13"/>
      <c r="F28" s="13"/>
      <c r="G28" s="14"/>
    </row>
    <row r="29" spans="1:9" x14ac:dyDescent="0.2">
      <c r="A29" s="11" t="s">
        <v>92</v>
      </c>
      <c r="B29" s="1" t="s">
        <v>93</v>
      </c>
      <c r="C29" s="10"/>
    </row>
    <row r="30" spans="1:9" x14ac:dyDescent="0.2">
      <c r="A30" s="11" t="s">
        <v>88</v>
      </c>
      <c r="B30" s="1" t="s">
        <v>89</v>
      </c>
      <c r="C30" s="10"/>
    </row>
    <row r="31" spans="1:9" x14ac:dyDescent="0.2">
      <c r="A31" s="11" t="s">
        <v>90</v>
      </c>
      <c r="B31" s="1" t="s">
        <v>89</v>
      </c>
      <c r="C31" s="10"/>
    </row>
    <row r="32" spans="1:9" x14ac:dyDescent="0.2">
      <c r="A32" s="11" t="s">
        <v>94</v>
      </c>
      <c r="B32" s="1" t="s">
        <v>89</v>
      </c>
      <c r="C32" s="10"/>
    </row>
    <row r="33" spans="1:3" ht="17" thickBot="1" x14ac:dyDescent="0.25">
      <c r="A33" s="12"/>
      <c r="B33" s="13"/>
      <c r="C33" s="14"/>
    </row>
  </sheetData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A0C45D55D81B409E1ED58F2E9DADA4" ma:contentTypeVersion="13" ma:contentTypeDescription="Create a new document." ma:contentTypeScope="" ma:versionID="4fa2050de8fd1970c7139c0348e41ca3">
  <xsd:schema xmlns:xsd="http://www.w3.org/2001/XMLSchema" xmlns:xs="http://www.w3.org/2001/XMLSchema" xmlns:p="http://schemas.microsoft.com/office/2006/metadata/properties" xmlns:ns2="40c2d214-4ca5-4604-be72-e6c4439e5276" xmlns:ns3="581c75f3-c23e-4d61-ac2d-458e1df0a137" targetNamespace="http://schemas.microsoft.com/office/2006/metadata/properties" ma:root="true" ma:fieldsID="f9a6f9f6c893a0ba7e28c007d9267f0e" ns2:_="" ns3:_="">
    <xsd:import namespace="40c2d214-4ca5-4604-be72-e6c4439e5276"/>
    <xsd:import namespace="581c75f3-c23e-4d61-ac2d-458e1df0a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2d214-4ca5-4604-be72-e6c4439e5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c75f3-c23e-4d61-ac2d-458e1df0a1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31a38a-0dbb-4f8d-9a73-75948745707f}" ma:internalName="TaxCatchAll" ma:showField="CatchAllData" ma:web="581c75f3-c23e-4d61-ac2d-458e1df0a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c2d214-4ca5-4604-be72-e6c4439e5276">
      <Terms xmlns="http://schemas.microsoft.com/office/infopath/2007/PartnerControls"/>
    </lcf76f155ced4ddcb4097134ff3c332f>
    <TaxCatchAll xmlns="581c75f3-c23e-4d61-ac2d-458e1df0a137" xsi:nil="true"/>
  </documentManagement>
</p:properties>
</file>

<file path=customXml/itemProps1.xml><?xml version="1.0" encoding="utf-8"?>
<ds:datastoreItem xmlns:ds="http://schemas.openxmlformats.org/officeDocument/2006/customXml" ds:itemID="{77CBFA7D-3A0A-48A4-8B12-895234E5D6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D4442-CD32-4282-A934-0FFE683B5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2d214-4ca5-4604-be72-e6c4439e5276"/>
    <ds:schemaRef ds:uri="581c75f3-c23e-4d61-ac2d-458e1df0a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E70AE-5CD9-46AD-9CD7-253B7D5337F5}">
  <ds:schemaRefs>
    <ds:schemaRef ds:uri="http://purl.org/dc/elements/1.1/"/>
    <ds:schemaRef ds:uri="581c75f3-c23e-4d61-ac2d-458e1df0a137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0c2d214-4ca5-4604-be72-e6c4439e527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Literature 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Einstein, Isaac</dc:creator>
  <cp:lastModifiedBy>Einstein, Isaac</cp:lastModifiedBy>
  <dcterms:created xsi:type="dcterms:W3CDTF">2025-10-24T04:30:15Z</dcterms:created>
  <dcterms:modified xsi:type="dcterms:W3CDTF">2025-11-17T23:48:35Z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0x01010020A0C45D55D81B409E1ED58F2E9DADA4</vt:lpwstr>
  </property>
  <property fmtid="{D5CDD505-2E9C-101B-9397-08002B2CF9AE}" pid="3" name="MediaServiceImageTags">
    <vt:lpwstr/>
  </property>
</Properties>
</file>